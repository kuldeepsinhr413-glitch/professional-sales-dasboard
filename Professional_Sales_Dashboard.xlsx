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Summary_Tables" sheetId="2" state="visible" r:id="rId4"/>
    <sheet name="Charts" sheetId="3" state="visible" r:id="rId5"/>
    <sheet name="Sales_Data" sheetId="4" state="visible" r:id="rId6"/>
    <sheet name="Formulas_Reference" sheetId="5" state="visible" r:id="rId7"/>
    <sheet name="Instruction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<sst xmlns="http://schemas.openxmlformats.org/spreadsheetml/2006/main" count="1387" uniqueCount="383">
  <si>
    <t xml:space="preserve">SALES PERFORMANCE DASHBOARD</t>
  </si>
  <si>
    <t xml:space="preserve">Total Revenue</t>
  </si>
  <si>
    <t xml:space="preserve">Total Orders</t>
  </si>
  <si>
    <t xml:space="preserve">Avg Order Value</t>
  </si>
  <si>
    <t xml:space="preserve">Unique Customers</t>
  </si>
  <si>
    <t xml:space="preserve">SALES SUMMARY ANALYSIS</t>
  </si>
  <si>
    <t xml:space="preserve">Sales by Region</t>
  </si>
  <si>
    <t xml:space="preserve">Sales by Category</t>
  </si>
  <si>
    <t xml:space="preserve">Region</t>
  </si>
  <si>
    <t xml:space="preserve">Total Sales</t>
  </si>
  <si>
    <t xml:space="preserve">Order Count</t>
  </si>
  <si>
    <t xml:space="preserve">Category</t>
  </si>
  <si>
    <t xml:space="preserve">Percentage</t>
  </si>
  <si>
    <t xml:space="preserve">North</t>
  </si>
  <si>
    <t xml:space="preserve">Electronics</t>
  </si>
  <si>
    <t xml:space="preserve">South</t>
  </si>
  <si>
    <t xml:space="preserve">Accessories</t>
  </si>
  <si>
    <t xml:space="preserve">East</t>
  </si>
  <si>
    <t xml:space="preserve">Peripherals</t>
  </si>
  <si>
    <t xml:space="preserve">West</t>
  </si>
  <si>
    <t xml:space="preserve">Computing</t>
  </si>
  <si>
    <t xml:space="preserve">Central</t>
  </si>
  <si>
    <t xml:space="preserve">Mobile</t>
  </si>
  <si>
    <t xml:space="preserve">TOTAL</t>
  </si>
  <si>
    <t xml:space="preserve">Top 10 Products by Revenue</t>
  </si>
  <si>
    <t xml:space="preserve">Monthly Sales Trend (2024)</t>
  </si>
  <si>
    <t xml:space="preserve">Rank</t>
  </si>
  <si>
    <t xml:space="preserve">Product</t>
  </si>
  <si>
    <t xml:space="preserve">Units Sold</t>
  </si>
  <si>
    <t xml:space="preserve">Month</t>
  </si>
  <si>
    <t xml:space="preserve">Sales</t>
  </si>
  <si>
    <t xml:space="preserve">Orders</t>
  </si>
  <si>
    <t xml:space="preserve">Laptop</t>
  </si>
  <si>
    <t xml:space="preserve">Jan</t>
  </si>
  <si>
    <t xml:space="preserve">Monitor</t>
  </si>
  <si>
    <t xml:space="preserve">Feb</t>
  </si>
  <si>
    <t xml:space="preserve">Tablet</t>
  </si>
  <si>
    <t xml:space="preserve">Mar</t>
  </si>
  <si>
    <t xml:space="preserve">Smartphone</t>
  </si>
  <si>
    <t xml:space="preserve">Apr</t>
  </si>
  <si>
    <t xml:space="preserve">Printer</t>
  </si>
  <si>
    <t xml:space="preserve">May</t>
  </si>
  <si>
    <t xml:space="preserve">Scanner</t>
  </si>
  <si>
    <t xml:space="preserve">Jun</t>
  </si>
  <si>
    <t xml:space="preserve">Headphones</t>
  </si>
  <si>
    <t xml:space="preserve">Jul</t>
  </si>
  <si>
    <t xml:space="preserve">Webcam</t>
  </si>
  <si>
    <t xml:space="preserve">Aug</t>
  </si>
  <si>
    <t xml:space="preserve">Keyboard</t>
  </si>
  <si>
    <t xml:space="preserve">Sep</t>
  </si>
  <si>
    <t xml:space="preserve">Mouse</t>
  </si>
  <si>
    <t xml:space="preserve">Oct</t>
  </si>
  <si>
    <t xml:space="preserve">Nov</t>
  </si>
  <si>
    <t xml:space="preserve">Dec</t>
  </si>
  <si>
    <t xml:space="preserve">DATA VISUALIZATION CHARTS</t>
  </si>
  <si>
    <t xml:space="preserve">Order_ID</t>
  </si>
  <si>
    <t xml:space="preserve">Date</t>
  </si>
  <si>
    <t xml:space="preserve">Customer_Name</t>
  </si>
  <si>
    <t xml:space="preserve">Quantity</t>
  </si>
  <si>
    <t xml:space="preserve">Unit_Price</t>
  </si>
  <si>
    <t xml:space="preserve">Discount</t>
  </si>
  <si>
    <t xml:space="preserve">Total_Sales</t>
  </si>
  <si>
    <t xml:space="preserve">Profit_Margin</t>
  </si>
  <si>
    <t xml:space="preserve">ORD10002</t>
  </si>
  <si>
    <t xml:space="preserve">Tech Solutions</t>
  </si>
  <si>
    <t xml:space="preserve">ORD10003</t>
  </si>
  <si>
    <t xml:space="preserve">Global Systems</t>
  </si>
  <si>
    <t xml:space="preserve">ORD10004</t>
  </si>
  <si>
    <t xml:space="preserve">ORD10005</t>
  </si>
  <si>
    <t xml:space="preserve">Quantum Corp</t>
  </si>
  <si>
    <t xml:space="preserve">ORD10006</t>
  </si>
  <si>
    <t xml:space="preserve">Metro Business</t>
  </si>
  <si>
    <t xml:space="preserve">ORD10007</t>
  </si>
  <si>
    <t xml:space="preserve">Digital Dynamics</t>
  </si>
  <si>
    <t xml:space="preserve">ORD10008</t>
  </si>
  <si>
    <t xml:space="preserve">ORD10009</t>
  </si>
  <si>
    <t xml:space="preserve">ORD10010</t>
  </si>
  <si>
    <t xml:space="preserve">Future Tech</t>
  </si>
  <si>
    <t xml:space="preserve">ORD10011</t>
  </si>
  <si>
    <t xml:space="preserve">ORD10012</t>
  </si>
  <si>
    <t xml:space="preserve">ORD10013</t>
  </si>
  <si>
    <t xml:space="preserve">Smart Enterprises</t>
  </si>
  <si>
    <t xml:space="preserve">ORD10014</t>
  </si>
  <si>
    <t xml:space="preserve">ORD10015</t>
  </si>
  <si>
    <t xml:space="preserve">ORD10016</t>
  </si>
  <si>
    <t xml:space="preserve">Prime Solutions</t>
  </si>
  <si>
    <t xml:space="preserve">ORD10017</t>
  </si>
  <si>
    <t xml:space="preserve">ORD10018</t>
  </si>
  <si>
    <t xml:space="preserve">Innovation Inc</t>
  </si>
  <si>
    <t xml:space="preserve">ORD10019</t>
  </si>
  <si>
    <t xml:space="preserve">ORD10020</t>
  </si>
  <si>
    <t xml:space="preserve">ORD10021</t>
  </si>
  <si>
    <t xml:space="preserve">ORD10022</t>
  </si>
  <si>
    <t xml:space="preserve">Acme Corp</t>
  </si>
  <si>
    <t xml:space="preserve">ORD10023</t>
  </si>
  <si>
    <t xml:space="preserve">Beta Company</t>
  </si>
  <si>
    <t xml:space="preserve">ORD10024</t>
  </si>
  <si>
    <t xml:space="preserve">ORD10025</t>
  </si>
  <si>
    <t xml:space="preserve">ORD10026</t>
  </si>
  <si>
    <t xml:space="preserve">ORD10027</t>
  </si>
  <si>
    <t xml:space="preserve">ORD10028</t>
  </si>
  <si>
    <t xml:space="preserve">ORD10029</t>
  </si>
  <si>
    <t xml:space="preserve">ORD10030</t>
  </si>
  <si>
    <t xml:space="preserve">ORD10031</t>
  </si>
  <si>
    <t xml:space="preserve">ORD10032</t>
  </si>
  <si>
    <t xml:space="preserve">ORD10033</t>
  </si>
  <si>
    <t xml:space="preserve">ORD10034</t>
  </si>
  <si>
    <t xml:space="preserve">ORD10035</t>
  </si>
  <si>
    <t xml:space="preserve">ORD10036</t>
  </si>
  <si>
    <t xml:space="preserve">ORD10037</t>
  </si>
  <si>
    <t xml:space="preserve">ORD10038</t>
  </si>
  <si>
    <t xml:space="preserve">ORD10039</t>
  </si>
  <si>
    <t xml:space="preserve">ORD10040</t>
  </si>
  <si>
    <t xml:space="preserve">ORD10041</t>
  </si>
  <si>
    <t xml:space="preserve">ORD10042</t>
  </si>
  <si>
    <t xml:space="preserve">ORD10043</t>
  </si>
  <si>
    <t xml:space="preserve">ORD10044</t>
  </si>
  <si>
    <t xml:space="preserve">Alpha Industries</t>
  </si>
  <si>
    <t xml:space="preserve">ORD10045</t>
  </si>
  <si>
    <t xml:space="preserve">ORD10046</t>
  </si>
  <si>
    <t xml:space="preserve">ORD10047</t>
  </si>
  <si>
    <t xml:space="preserve">ORD10048</t>
  </si>
  <si>
    <t xml:space="preserve">ORD10049</t>
  </si>
  <si>
    <t xml:space="preserve">ORD10050</t>
  </si>
  <si>
    <t xml:space="preserve">ORD10051</t>
  </si>
  <si>
    <t xml:space="preserve">ORD10052</t>
  </si>
  <si>
    <t xml:space="preserve">ORD10053</t>
  </si>
  <si>
    <t xml:space="preserve">ORD10054</t>
  </si>
  <si>
    <t xml:space="preserve">ORD10055</t>
  </si>
  <si>
    <t xml:space="preserve">ORD10056</t>
  </si>
  <si>
    <t xml:space="preserve">ORD10057</t>
  </si>
  <si>
    <t xml:space="preserve">ORD10058</t>
  </si>
  <si>
    <t xml:space="preserve">ORD10059</t>
  </si>
  <si>
    <t xml:space="preserve">ORD10060</t>
  </si>
  <si>
    <t xml:space="preserve">ORD10061</t>
  </si>
  <si>
    <t xml:space="preserve">ORD10062</t>
  </si>
  <si>
    <t xml:space="preserve">ORD10063</t>
  </si>
  <si>
    <t xml:space="preserve">ORD10064</t>
  </si>
  <si>
    <t xml:space="preserve">ORD10065</t>
  </si>
  <si>
    <t xml:space="preserve">ORD10066</t>
  </si>
  <si>
    <t xml:space="preserve">ORD10067</t>
  </si>
  <si>
    <t xml:space="preserve">ORD10068</t>
  </si>
  <si>
    <t xml:space="preserve">ORD10069</t>
  </si>
  <si>
    <t xml:space="preserve">ORD10070</t>
  </si>
  <si>
    <t xml:space="preserve">ORD10071</t>
  </si>
  <si>
    <t xml:space="preserve">ORD10072</t>
  </si>
  <si>
    <t xml:space="preserve">ORD10073</t>
  </si>
  <si>
    <t xml:space="preserve">ORD10074</t>
  </si>
  <si>
    <t xml:space="preserve">ORD10075</t>
  </si>
  <si>
    <t xml:space="preserve">ORD10076</t>
  </si>
  <si>
    <t xml:space="preserve">ORD10077</t>
  </si>
  <si>
    <t xml:space="preserve">ORD10078</t>
  </si>
  <si>
    <t xml:space="preserve">ORD10079</t>
  </si>
  <si>
    <t xml:space="preserve">ORD10080</t>
  </si>
  <si>
    <t xml:space="preserve">ORD10081</t>
  </si>
  <si>
    <t xml:space="preserve">ORD10082</t>
  </si>
  <si>
    <t xml:space="preserve">ORD10083</t>
  </si>
  <si>
    <t xml:space="preserve">ORD10084</t>
  </si>
  <si>
    <t xml:space="preserve">ORD10085</t>
  </si>
  <si>
    <t xml:space="preserve">ORD10086</t>
  </si>
  <si>
    <t xml:space="preserve">ORD10087</t>
  </si>
  <si>
    <t xml:space="preserve">ORD10088</t>
  </si>
  <si>
    <t xml:space="preserve">ORD10089</t>
  </si>
  <si>
    <t xml:space="preserve">ORD10090</t>
  </si>
  <si>
    <t xml:space="preserve">ORD10091</t>
  </si>
  <si>
    <t xml:space="preserve">ORD10092</t>
  </si>
  <si>
    <t xml:space="preserve">ORD10093</t>
  </si>
  <si>
    <t xml:space="preserve">ORD10094</t>
  </si>
  <si>
    <t xml:space="preserve">ORD10095</t>
  </si>
  <si>
    <t xml:space="preserve">ORD10096</t>
  </si>
  <si>
    <t xml:space="preserve">ORD10097</t>
  </si>
  <si>
    <t xml:space="preserve">ORD10098</t>
  </si>
  <si>
    <t xml:space="preserve">ORD10099</t>
  </si>
  <si>
    <t xml:space="preserve">ORD10100</t>
  </si>
  <si>
    <t xml:space="preserve">ORD10101</t>
  </si>
  <si>
    <t xml:space="preserve">ORD10102</t>
  </si>
  <si>
    <t xml:space="preserve">ORD10103</t>
  </si>
  <si>
    <t xml:space="preserve">ORD10104</t>
  </si>
  <si>
    <t xml:space="preserve">ORD10105</t>
  </si>
  <si>
    <t xml:space="preserve">ORD10106</t>
  </si>
  <si>
    <t xml:space="preserve">ORD10107</t>
  </si>
  <si>
    <t xml:space="preserve">ORD10108</t>
  </si>
  <si>
    <t xml:space="preserve">ORD10109</t>
  </si>
  <si>
    <t xml:space="preserve">ORD10110</t>
  </si>
  <si>
    <t xml:space="preserve">ORD10111</t>
  </si>
  <si>
    <t xml:space="preserve">ORD10112</t>
  </si>
  <si>
    <t xml:space="preserve">ORD10113</t>
  </si>
  <si>
    <t xml:space="preserve">ORD10114</t>
  </si>
  <si>
    <t xml:space="preserve">ORD10115</t>
  </si>
  <si>
    <t xml:space="preserve">ORD10116</t>
  </si>
  <si>
    <t xml:space="preserve">ORD10117</t>
  </si>
  <si>
    <t xml:space="preserve">ORD10118</t>
  </si>
  <si>
    <t xml:space="preserve">ORD10119</t>
  </si>
  <si>
    <t xml:space="preserve">ORD10120</t>
  </si>
  <si>
    <t xml:space="preserve">ORD10121</t>
  </si>
  <si>
    <t xml:space="preserve">ORD10122</t>
  </si>
  <si>
    <t xml:space="preserve">ORD10123</t>
  </si>
  <si>
    <t xml:space="preserve">ORD10124</t>
  </si>
  <si>
    <t xml:space="preserve">ORD10125</t>
  </si>
  <si>
    <t xml:space="preserve">ORD10126</t>
  </si>
  <si>
    <t xml:space="preserve">ORD10127</t>
  </si>
  <si>
    <t xml:space="preserve">ORD10128</t>
  </si>
  <si>
    <t xml:space="preserve">ORD10129</t>
  </si>
  <si>
    <t xml:space="preserve">ORD10130</t>
  </si>
  <si>
    <t xml:space="preserve">ORD10131</t>
  </si>
  <si>
    <t xml:space="preserve">ORD10132</t>
  </si>
  <si>
    <t xml:space="preserve">ORD10133</t>
  </si>
  <si>
    <t xml:space="preserve">ORD10134</t>
  </si>
  <si>
    <t xml:space="preserve">ORD10135</t>
  </si>
  <si>
    <t xml:space="preserve">ORD10136</t>
  </si>
  <si>
    <t xml:space="preserve">ORD10137</t>
  </si>
  <si>
    <t xml:space="preserve">ORD10138</t>
  </si>
  <si>
    <t xml:space="preserve">ORD10139</t>
  </si>
  <si>
    <t xml:space="preserve">ORD10140</t>
  </si>
  <si>
    <t xml:space="preserve">ORD10141</t>
  </si>
  <si>
    <t xml:space="preserve">ORD10142</t>
  </si>
  <si>
    <t xml:space="preserve">ORD10143</t>
  </si>
  <si>
    <t xml:space="preserve">ORD10144</t>
  </si>
  <si>
    <t xml:space="preserve">ORD10145</t>
  </si>
  <si>
    <t xml:space="preserve">ORD10146</t>
  </si>
  <si>
    <t xml:space="preserve">ORD10147</t>
  </si>
  <si>
    <t xml:space="preserve">ORD10148</t>
  </si>
  <si>
    <t xml:space="preserve">ORD10149</t>
  </si>
  <si>
    <t xml:space="preserve">ORD10150</t>
  </si>
  <si>
    <t xml:space="preserve">ORD10151</t>
  </si>
  <si>
    <t xml:space="preserve">ORD10152</t>
  </si>
  <si>
    <t xml:space="preserve">ORD10153</t>
  </si>
  <si>
    <t xml:space="preserve">ORD10154</t>
  </si>
  <si>
    <t xml:space="preserve">ORD10155</t>
  </si>
  <si>
    <t xml:space="preserve">ORD10156</t>
  </si>
  <si>
    <t xml:space="preserve">ORD10157</t>
  </si>
  <si>
    <t xml:space="preserve">ORD10158</t>
  </si>
  <si>
    <t xml:space="preserve">ORD10159</t>
  </si>
  <si>
    <t xml:space="preserve">ORD10160</t>
  </si>
  <si>
    <t xml:space="preserve">ORD10161</t>
  </si>
  <si>
    <t xml:space="preserve">ORD10162</t>
  </si>
  <si>
    <t xml:space="preserve">ORD10163</t>
  </si>
  <si>
    <t xml:space="preserve">ORD10164</t>
  </si>
  <si>
    <t xml:space="preserve">ORD10165</t>
  </si>
  <si>
    <t xml:space="preserve">ORD10166</t>
  </si>
  <si>
    <t xml:space="preserve">ORD10167</t>
  </si>
  <si>
    <t xml:space="preserve">ORD10168</t>
  </si>
  <si>
    <t xml:space="preserve">ORD10169</t>
  </si>
  <si>
    <t xml:space="preserve">ORD10170</t>
  </si>
  <si>
    <t xml:space="preserve">ORD10171</t>
  </si>
  <si>
    <t xml:space="preserve">ORD10172</t>
  </si>
  <si>
    <t xml:space="preserve">ORD10173</t>
  </si>
  <si>
    <t xml:space="preserve">ORD10174</t>
  </si>
  <si>
    <t xml:space="preserve">ORD10175</t>
  </si>
  <si>
    <t xml:space="preserve">ORD10176</t>
  </si>
  <si>
    <t xml:space="preserve">ORD10177</t>
  </si>
  <si>
    <t xml:space="preserve">ORD10178</t>
  </si>
  <si>
    <t xml:space="preserve">ORD10179</t>
  </si>
  <si>
    <t xml:space="preserve">ORD10180</t>
  </si>
  <si>
    <t xml:space="preserve">ORD10181</t>
  </si>
  <si>
    <t xml:space="preserve">ORD10182</t>
  </si>
  <si>
    <t xml:space="preserve">ORD10183</t>
  </si>
  <si>
    <t xml:space="preserve">ORD10184</t>
  </si>
  <si>
    <t xml:space="preserve">ORD10185</t>
  </si>
  <si>
    <t xml:space="preserve">ORD10186</t>
  </si>
  <si>
    <t xml:space="preserve">ORD10187</t>
  </si>
  <si>
    <t xml:space="preserve">ORD10188</t>
  </si>
  <si>
    <t xml:space="preserve">ORD10189</t>
  </si>
  <si>
    <t xml:space="preserve">ORD10190</t>
  </si>
  <si>
    <t xml:space="preserve">ORD10191</t>
  </si>
  <si>
    <t xml:space="preserve">ORD10192</t>
  </si>
  <si>
    <t xml:space="preserve">ORD10193</t>
  </si>
  <si>
    <t xml:space="preserve">ORD10194</t>
  </si>
  <si>
    <t xml:space="preserve">ORD10195</t>
  </si>
  <si>
    <t xml:space="preserve">ORD10196</t>
  </si>
  <si>
    <t xml:space="preserve">ORD10197</t>
  </si>
  <si>
    <t xml:space="preserve">ORD10198</t>
  </si>
  <si>
    <t xml:space="preserve">ORD10199</t>
  </si>
  <si>
    <t xml:space="preserve">ORD10200</t>
  </si>
  <si>
    <t xml:space="preserve">ORD10201</t>
  </si>
  <si>
    <t xml:space="preserve">ORD10202</t>
  </si>
  <si>
    <t xml:space="preserve">ORD10203</t>
  </si>
  <si>
    <t xml:space="preserve">ORD10204</t>
  </si>
  <si>
    <t xml:space="preserve">ORD10205</t>
  </si>
  <si>
    <t xml:space="preserve">ORD10206</t>
  </si>
  <si>
    <t xml:space="preserve">ORD10207</t>
  </si>
  <si>
    <t xml:space="preserve">ORD10208</t>
  </si>
  <si>
    <t xml:space="preserve">ORD10209</t>
  </si>
  <si>
    <t xml:space="preserve">ORD10210</t>
  </si>
  <si>
    <t xml:space="preserve">ORD10211</t>
  </si>
  <si>
    <t xml:space="preserve">ORD10212</t>
  </si>
  <si>
    <t xml:space="preserve">ORD10213</t>
  </si>
  <si>
    <t xml:space="preserve">ORD10214</t>
  </si>
  <si>
    <t xml:space="preserve">ORD10215</t>
  </si>
  <si>
    <t xml:space="preserve">ORD10216</t>
  </si>
  <si>
    <t xml:space="preserve">ORD10217</t>
  </si>
  <si>
    <t xml:space="preserve">ORD10218</t>
  </si>
  <si>
    <t xml:space="preserve">ORD10219</t>
  </si>
  <si>
    <t xml:space="preserve">ORD10220</t>
  </si>
  <si>
    <t xml:space="preserve">ORD10221</t>
  </si>
  <si>
    <t xml:space="preserve">ORD10222</t>
  </si>
  <si>
    <t xml:space="preserve">ORD10223</t>
  </si>
  <si>
    <t xml:space="preserve">ORD10224</t>
  </si>
  <si>
    <t xml:space="preserve">ORD10225</t>
  </si>
  <si>
    <t xml:space="preserve">ORD10226</t>
  </si>
  <si>
    <t xml:space="preserve">ORD10227</t>
  </si>
  <si>
    <t xml:space="preserve">ORD10228</t>
  </si>
  <si>
    <t xml:space="preserve">ORD10229</t>
  </si>
  <si>
    <t xml:space="preserve">ORD10230</t>
  </si>
  <si>
    <t xml:space="preserve">ORD10231</t>
  </si>
  <si>
    <t xml:space="preserve">ORD10232</t>
  </si>
  <si>
    <t xml:space="preserve">ORD10233</t>
  </si>
  <si>
    <t xml:space="preserve">ORD10234</t>
  </si>
  <si>
    <t xml:space="preserve">ORD10235</t>
  </si>
  <si>
    <t xml:space="preserve">ORD10236</t>
  </si>
  <si>
    <t xml:space="preserve">ORD10237</t>
  </si>
  <si>
    <t xml:space="preserve">ORD10238</t>
  </si>
  <si>
    <t xml:space="preserve">ORD10239</t>
  </si>
  <si>
    <t xml:space="preserve">ORD10240</t>
  </si>
  <si>
    <t xml:space="preserve">ORD10241</t>
  </si>
  <si>
    <t xml:space="preserve">ORD10242</t>
  </si>
  <si>
    <t xml:space="preserve">ORD10243</t>
  </si>
  <si>
    <t xml:space="preserve">ORD10244</t>
  </si>
  <si>
    <t xml:space="preserve">ORD10245</t>
  </si>
  <si>
    <t xml:space="preserve">ORD10246</t>
  </si>
  <si>
    <t xml:space="preserve">ORD10247</t>
  </si>
  <si>
    <t xml:space="preserve">ORD10248</t>
  </si>
  <si>
    <t xml:space="preserve">ORD10249</t>
  </si>
  <si>
    <t xml:space="preserve">ORD10250</t>
  </si>
  <si>
    <t xml:space="preserve">ORD10251</t>
  </si>
  <si>
    <t xml:space="preserve">FORMULAS REFERENCE GUIDE</t>
  </si>
  <si>
    <t xml:space="preserve">Function</t>
  </si>
  <si>
    <t xml:space="preserve">Purpose</t>
  </si>
  <si>
    <t xml:space="preserve">Formula Example</t>
  </si>
  <si>
    <t xml:space="preserve">Location</t>
  </si>
  <si>
    <t xml:space="preserve">Result Type</t>
  </si>
  <si>
    <t xml:space="preserve">SUM</t>
  </si>
  <si>
    <t xml:space="preserve">Total revenue calculation</t>
  </si>
  <si>
    <t xml:space="preserve">Dashboard KPI</t>
  </si>
  <si>
    <t xml:space="preserve">Currency</t>
  </si>
  <si>
    <t xml:space="preserve">SUMIF</t>
  </si>
  <si>
    <t xml:space="preserve">Region-specific sales</t>
  </si>
  <si>
    <t xml:space="preserve">Summary Tables</t>
  </si>
  <si>
    <t xml:space="preserve">SUMIFS</t>
  </si>
  <si>
    <t xml:space="preserve">Monthly sales with dates</t>
  </si>
  <si>
    <t xml:space="preserve">Monthly Trend</t>
  </si>
  <si>
    <t xml:space="preserve">COUNTIF</t>
  </si>
  <si>
    <t xml:space="preserve">Count orders by region</t>
  </si>
  <si>
    <t xml:space="preserve">Number</t>
  </si>
  <si>
    <t xml:space="preserve">AVERAGE</t>
  </si>
  <si>
    <t xml:space="preserve">Average order value</t>
  </si>
  <si>
    <t xml:space="preserve">COUNTA</t>
  </si>
  <si>
    <t xml:space="preserve">Total number of orders</t>
  </si>
  <si>
    <t xml:space="preserve">Division</t>
  </si>
  <si>
    <t xml:space="preserve">Calculate percentage</t>
  </si>
  <si>
    <t xml:space="preserve">Quantity * Price * (1-Discount)</t>
  </si>
  <si>
    <t xml:space="preserve">Category %</t>
  </si>
  <si>
    <t xml:space="preserve">Multiplication</t>
  </si>
  <si>
    <t xml:space="preserve">Total sales calculation</t>
  </si>
  <si>
    <t xml:space="preserve">Sales Data</t>
  </si>
  <si>
    <t xml:space="preserve">EXCEL DASHBOARD - USER GUIDE</t>
  </si>
  <si>
    <t xml:space="preserve">Sheet Name</t>
  </si>
  <si>
    <t xml:space="preserve">Key Features</t>
  </si>
  <si>
    <t xml:space="preserve">Usage</t>
  </si>
  <si>
    <t xml:space="preserve">Dashboard</t>
  </si>
  <si>
    <t xml:space="preserve">Main interactive view</t>
  </si>
  <si>
    <t xml:space="preserve">• KPI cards
• Interactive charts
• Real-time calculations</t>
  </si>
  <si>
    <t xml:space="preserve">Primary viewing sheet</t>
  </si>
  <si>
    <t xml:space="preserve">Sales_Data</t>
  </si>
  <si>
    <t xml:space="preserve">Raw transactional data</t>
  </si>
  <si>
    <t xml:space="preserve">• 250 order records
• Formatted as Excel table
• All calculations reference this</t>
  </si>
  <si>
    <t xml:space="preserve">Source data - do not modify</t>
  </si>
  <si>
    <t xml:space="preserve">Summary_Tables</t>
  </si>
  <si>
    <t xml:space="preserve">Pre-calculated summaries</t>
  </si>
  <si>
    <t xml:space="preserve">• Sales by Region
• Sales by Category
• Top 10 Products
• Monthly trends</t>
  </si>
  <si>
    <t xml:space="preserve">Referenced by charts</t>
  </si>
  <si>
    <t xml:space="preserve">Charts</t>
  </si>
  <si>
    <t xml:space="preserve">Standalone visualizations</t>
  </si>
  <si>
    <t xml:space="preserve">• Bar charts
• Pie charts
• Line charts
• Product rankings</t>
  </si>
  <si>
    <t xml:space="preserve">Individual chart views</t>
  </si>
  <si>
    <t xml:space="preserve">Formulas_Reference</t>
  </si>
  <si>
    <t xml:space="preserve">Formula documentation</t>
  </si>
  <si>
    <t xml:space="preserve">• All formulas explained
• Examples and purposes
• Result types</t>
  </si>
  <si>
    <t xml:space="preserve">Learning and reference</t>
  </si>
  <si>
    <t xml:space="preserve">Instructions</t>
  </si>
  <si>
    <t xml:space="preserve">This guide</t>
  </si>
  <si>
    <t xml:space="preserve">• Sheet descriptions
• Navigation tips</t>
  </si>
  <si>
    <t xml:space="preserve">Getting started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</si>
</sst>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"/>
    <numFmt numFmtId="166" formatCode="#,##0"/>
    <numFmt numFmtId="167" formatCode="\$#,##0.00"/>
    <numFmt numFmtId="168" formatCode="0.0%"/>
    <numFmt numFmtId="169" formatCode="General"/>
    <numFmt numFmtId="170" formatCode="mm/dd/yyyy"/>
    <numFmt numFmtId="171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20"/>
      <color rgb="FF2F5496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6"/>
      <color rgb="FF2F5496"/>
      <name val="Cambria"/>
      <family val="0"/>
      <charset val="1"/>
    </font>
    <font>
      <b val="true"/>
      <sz val="14"/>
      <color rgb="FF2F549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3C628F"/>
      </patternFill>
    </fill>
    <fill>
      <patternFill patternType="solid">
        <fgColor rgb="FFE7E6E6"/>
        <bgColor rgb="FFD9E1F2"/>
      </patternFill>
    </fill>
    <fill>
      <patternFill patternType="solid">
        <fgColor rgb="FFD9E1F2"/>
        <bgColor rgb="FFE7E6E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4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4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2" xfId="0" applyFont="fals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F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8DE"/>
      <rgbColor rgb="FF878787"/>
      <rgbColor rgb="FF93A9CE"/>
      <rgbColor rgb="FFBE4B48"/>
      <rgbColor rgb="FFF9F9F9"/>
      <rgbColor rgb="FFD9E1F2"/>
      <rgbColor rgb="FF660066"/>
      <rgbColor rgb="FFFF8080"/>
      <rgbColor rgb="FF3C628F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672A8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Summary_Tables!B4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Summary_Tables!$A$5:$A$9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Summary_Tables!$B$5:$B$9</c:f>
              <c:numCache>
                <c:formatCode>\$#,##0.00</c:formatCode>
                <c:ptCount val="5"/>
                <c:pt idx="0">
                  <c:v>480694.4067</c:v>
                </c:pt>
                <c:pt idx="1">
                  <c:v>597491.737</c:v>
                </c:pt>
                <c:pt idx="2">
                  <c:v>496192.4054</c:v>
                </c:pt>
                <c:pt idx="3">
                  <c:v>570173.0808</c:v>
                </c:pt>
                <c:pt idx="4">
                  <c:v>658856.2034</c:v>
                </c:pt>
              </c:numCache>
            </c:numRef>
          </c:val>
        </c:ser>
        <c:gapWidth val="150"/>
        <c:overlap val="0"/>
        <c:axId val="53145523"/>
        <c:axId val="31451016"/>
      </c:barChart>
      <c:catAx>
        <c:axId val="5314552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451016"/>
        <c:crosses val="autoZero"/>
        <c:auto val="1"/>
        <c:lblAlgn val="ctr"/>
        <c:lblOffset val="100"/>
        <c:noMultiLvlLbl val="0"/>
      </c:catAx>
      <c:valAx>
        <c:axId val="314510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14552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Category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Summary_Tables!G4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3c628f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4672a8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93a9ce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bdc8de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Summary_Tables!$F$5:$F$9</c:f>
              <c:strCache>
                <c:ptCount val="5"/>
                <c:pt idx="0">
                  <c:v>Electronics</c:v>
                </c:pt>
                <c:pt idx="1">
                  <c:v>Accessories</c:v>
                </c:pt>
                <c:pt idx="2">
                  <c:v>Peripherals</c:v>
                </c:pt>
                <c:pt idx="3">
                  <c:v>Computing</c:v>
                </c:pt>
                <c:pt idx="4">
                  <c:v>Mobile</c:v>
                </c:pt>
              </c:strCache>
            </c:strRef>
          </c:cat>
          <c:val>
            <c:numRef>
              <c:f>Summary_Tables!$G$5:$G$9</c:f>
              <c:numCache>
                <c:formatCode>\$#,##0.00</c:formatCode>
                <c:ptCount val="5"/>
                <c:pt idx="0">
                  <c:v>689465.1344</c:v>
                </c:pt>
                <c:pt idx="1">
                  <c:v>564846.2638</c:v>
                </c:pt>
                <c:pt idx="2">
                  <c:v>525666.8945</c:v>
                </c:pt>
                <c:pt idx="3">
                  <c:v>499014.3352</c:v>
                </c:pt>
                <c:pt idx="4">
                  <c:v>524415.2054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Summary_Tables!G13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Summary_Tables!$F$14:$F$25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Summary_Tables!$G$14:$G$25</c:f>
              <c:numCache>
                <c:formatCode>\$#,##0.00</c:formatCode>
                <c:ptCount val="12"/>
                <c:pt idx="0">
                  <c:v>184628.4126</c:v>
                </c:pt>
                <c:pt idx="1">
                  <c:v>394267.5628</c:v>
                </c:pt>
                <c:pt idx="2">
                  <c:v>180556.0872</c:v>
                </c:pt>
                <c:pt idx="3">
                  <c:v>166930.1505</c:v>
                </c:pt>
                <c:pt idx="4">
                  <c:v>183340.8353</c:v>
                </c:pt>
                <c:pt idx="5">
                  <c:v>166433.3802</c:v>
                </c:pt>
                <c:pt idx="6">
                  <c:v>255253.4809</c:v>
                </c:pt>
                <c:pt idx="7">
                  <c:v>273152.7987</c:v>
                </c:pt>
                <c:pt idx="8">
                  <c:v>194739.2045</c:v>
                </c:pt>
                <c:pt idx="9">
                  <c:v>454086.96</c:v>
                </c:pt>
                <c:pt idx="10">
                  <c:v>139265.4222</c:v>
                </c:pt>
                <c:pt idx="11">
                  <c:v>210753.5384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04791"/>
        <c:axId val="73849789"/>
      </c:lineChart>
      <c:catAx>
        <c:axId val="70479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849789"/>
        <c:crosses val="autoZero"/>
        <c:auto val="1"/>
        <c:lblAlgn val="ctr"/>
        <c:lblOffset val="100"/>
        <c:noMultiLvlLbl val="0"/>
      </c:catAx>
      <c:valAx>
        <c:axId val="738497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47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Summary_Tables!B4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Summary_Tables!$A$5:$A$9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Summary_Tables!$B$5:$B$9</c:f>
              <c:numCache>
                <c:formatCode>\$#,##0.00</c:formatCode>
                <c:ptCount val="5"/>
                <c:pt idx="0">
                  <c:v>480694.4067</c:v>
                </c:pt>
                <c:pt idx="1">
                  <c:v>597491.737</c:v>
                </c:pt>
                <c:pt idx="2">
                  <c:v>496192.4054</c:v>
                </c:pt>
                <c:pt idx="3">
                  <c:v>570173.0808</c:v>
                </c:pt>
                <c:pt idx="4">
                  <c:v>658856.2034</c:v>
                </c:pt>
              </c:numCache>
            </c:numRef>
          </c:val>
        </c:ser>
        <c:gapWidth val="150"/>
        <c:overlap val="0"/>
        <c:axId val="99392823"/>
        <c:axId val="78950886"/>
      </c:barChart>
      <c:catAx>
        <c:axId val="9939282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950886"/>
        <c:crosses val="autoZero"/>
        <c:auto val="1"/>
        <c:lblAlgn val="ctr"/>
        <c:lblOffset val="100"/>
        <c:noMultiLvlLbl val="0"/>
      </c:catAx>
      <c:valAx>
        <c:axId val="789508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39282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Distribution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Summary_Tables!G4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3c628f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4672a8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93a9ce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bdc8de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Summary_Tables!$F$5:$F$9</c:f>
              <c:strCache>
                <c:ptCount val="5"/>
                <c:pt idx="0">
                  <c:v>Electronics</c:v>
                </c:pt>
                <c:pt idx="1">
                  <c:v>Accessories</c:v>
                </c:pt>
                <c:pt idx="2">
                  <c:v>Peripherals</c:v>
                </c:pt>
                <c:pt idx="3">
                  <c:v>Computing</c:v>
                </c:pt>
                <c:pt idx="4">
                  <c:v>Mobile</c:v>
                </c:pt>
              </c:strCache>
            </c:strRef>
          </c:cat>
          <c:val>
            <c:numRef>
              <c:f>Summary_Tables!$G$5:$G$9</c:f>
              <c:numCache>
                <c:formatCode>\$#,##0.00</c:formatCode>
                <c:ptCount val="5"/>
                <c:pt idx="0">
                  <c:v>689465.1344</c:v>
                </c:pt>
                <c:pt idx="1">
                  <c:v>564846.2638</c:v>
                </c:pt>
                <c:pt idx="2">
                  <c:v>525666.8945</c:v>
                </c:pt>
                <c:pt idx="3">
                  <c:v>499014.3352</c:v>
                </c:pt>
                <c:pt idx="4">
                  <c:v>524415.2054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Trend 2024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Summary_Tables!G13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Summary_Tables!$F$14:$F$25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Summary_Tables!$G$14:$G$25</c:f>
              <c:numCache>
                <c:formatCode>\$#,##0.00</c:formatCode>
                <c:ptCount val="12"/>
                <c:pt idx="0">
                  <c:v>184628.4126</c:v>
                </c:pt>
                <c:pt idx="1">
                  <c:v>394267.5628</c:v>
                </c:pt>
                <c:pt idx="2">
                  <c:v>180556.0872</c:v>
                </c:pt>
                <c:pt idx="3">
                  <c:v>166930.1505</c:v>
                </c:pt>
                <c:pt idx="4">
                  <c:v>183340.8353</c:v>
                </c:pt>
                <c:pt idx="5">
                  <c:v>166433.3802</c:v>
                </c:pt>
                <c:pt idx="6">
                  <c:v>255253.4809</c:v>
                </c:pt>
                <c:pt idx="7">
                  <c:v>273152.7987</c:v>
                </c:pt>
                <c:pt idx="8">
                  <c:v>194739.2045</c:v>
                </c:pt>
                <c:pt idx="9">
                  <c:v>454086.96</c:v>
                </c:pt>
                <c:pt idx="10">
                  <c:v>139265.4222</c:v>
                </c:pt>
                <c:pt idx="11">
                  <c:v>210753.5384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1677611"/>
        <c:axId val="78102278"/>
      </c:lineChart>
      <c:catAx>
        <c:axId val="716776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102278"/>
        <c:crosses val="autoZero"/>
        <c:auto val="1"/>
        <c:lblAlgn val="ctr"/>
        <c:lblOffset val="100"/>
        <c:noMultiLvlLbl val="0"/>
      </c:catAx>
      <c:valAx>
        <c:axId val="781022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6776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Products by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Summary_Tables!C13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Summary_Tables!$B$14:$B$23</c:f>
              <c:strCache>
                <c:ptCount val="10"/>
                <c:pt idx="0">
                  <c:v>Laptop</c:v>
                </c:pt>
                <c:pt idx="1">
                  <c:v>Monitor</c:v>
                </c:pt>
                <c:pt idx="2">
                  <c:v>Tablet</c:v>
                </c:pt>
                <c:pt idx="3">
                  <c:v>Smartphone</c:v>
                </c:pt>
                <c:pt idx="4">
                  <c:v>Printer</c:v>
                </c:pt>
                <c:pt idx="5">
                  <c:v>Scanner</c:v>
                </c:pt>
                <c:pt idx="6">
                  <c:v>Headphones</c:v>
                </c:pt>
                <c:pt idx="7">
                  <c:v>Webcam</c:v>
                </c:pt>
                <c:pt idx="8">
                  <c:v>Keyboard</c:v>
                </c:pt>
                <c:pt idx="9">
                  <c:v>Mouse</c:v>
                </c:pt>
              </c:strCache>
            </c:strRef>
          </c:cat>
          <c:val>
            <c:numRef>
              <c:f>Summary_Tables!$C$14:$C$23</c:f>
              <c:numCache>
                <c:formatCode>\$#,##0.00</c:formatCode>
                <c:ptCount val="10"/>
                <c:pt idx="0">
                  <c:v>188647.6974</c:v>
                </c:pt>
                <c:pt idx="1">
                  <c:v>213456.8273</c:v>
                </c:pt>
                <c:pt idx="2">
                  <c:v>302483.702</c:v>
                </c:pt>
                <c:pt idx="3">
                  <c:v>298380.824</c:v>
                </c:pt>
                <c:pt idx="4">
                  <c:v>220122.9795</c:v>
                </c:pt>
                <c:pt idx="5">
                  <c:v>367021.5814</c:v>
                </c:pt>
                <c:pt idx="6">
                  <c:v>275217.8918</c:v>
                </c:pt>
                <c:pt idx="7">
                  <c:v>363106.0547</c:v>
                </c:pt>
                <c:pt idx="8">
                  <c:v>309566.6849</c:v>
                </c:pt>
                <c:pt idx="9">
                  <c:v>265403.5903</c:v>
                </c:pt>
              </c:numCache>
            </c:numRef>
          </c:val>
        </c:ser>
        <c:gapWidth val="150"/>
        <c:overlap val="0"/>
        <c:axId val="37727161"/>
        <c:axId val="99175286"/>
      </c:barChart>
      <c:catAx>
        <c:axId val="37727161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175286"/>
        <c:crosses val="autoZero"/>
        <c:auto val="1"/>
        <c:lblAlgn val="ctr"/>
        <c:lblOffset val="100"/>
        <c:noMultiLvlLbl val="0"/>
      </c:catAx>
      <c:valAx>
        <c:axId val="991752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Product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7271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Relationship Id="rId4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6</xdr:row>
      <xdr:rowOff>0</xdr:rowOff>
    </xdr:from>
    <xdr:to>
      <xdr:col>9</xdr:col>
      <xdr:colOff>120240</xdr:colOff>
      <xdr:row>24</xdr:row>
      <xdr:rowOff>169920</xdr:rowOff>
    </xdr:to>
    <xdr:graphicFrame>
      <xdr:nvGraphicFramePr>
        <xdr:cNvPr id="0" name="Chart 1"/>
        <xdr:cNvGraphicFramePr/>
      </xdr:nvGraphicFramePr>
      <xdr:xfrm>
        <a:off x="704880" y="1581120"/>
        <a:ext cx="5758920" cy="359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6</xdr:row>
      <xdr:rowOff>0</xdr:rowOff>
    </xdr:from>
    <xdr:to>
      <xdr:col>15</xdr:col>
      <xdr:colOff>306720</xdr:colOff>
      <xdr:row>24</xdr:row>
      <xdr:rowOff>169920</xdr:rowOff>
    </xdr:to>
    <xdr:graphicFrame>
      <xdr:nvGraphicFramePr>
        <xdr:cNvPr id="1" name="Chart 2"/>
        <xdr:cNvGraphicFramePr/>
      </xdr:nvGraphicFramePr>
      <xdr:xfrm>
        <a:off x="4933800" y="1581120"/>
        <a:ext cx="5758920" cy="359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22</xdr:row>
      <xdr:rowOff>0</xdr:rowOff>
    </xdr:from>
    <xdr:to>
      <xdr:col>13</xdr:col>
      <xdr:colOff>180720</xdr:colOff>
      <xdr:row>40</xdr:row>
      <xdr:rowOff>169920</xdr:rowOff>
    </xdr:to>
    <xdr:graphicFrame>
      <xdr:nvGraphicFramePr>
        <xdr:cNvPr id="2" name="Chart 3"/>
        <xdr:cNvGraphicFramePr/>
      </xdr:nvGraphicFramePr>
      <xdr:xfrm>
        <a:off x="704880" y="4629240"/>
        <a:ext cx="8638920" cy="359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11</xdr:col>
      <xdr:colOff>472320</xdr:colOff>
      <xdr:row>24</xdr:row>
      <xdr:rowOff>127800</xdr:rowOff>
    </xdr:to>
    <xdr:graphicFrame>
      <xdr:nvGraphicFramePr>
        <xdr:cNvPr id="3" name="Chart 1"/>
        <xdr:cNvGraphicFramePr/>
      </xdr:nvGraphicFramePr>
      <xdr:xfrm>
        <a:off x="0" y="504720"/>
        <a:ext cx="7198920" cy="431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</xdr:row>
      <xdr:rowOff>0</xdr:rowOff>
    </xdr:from>
    <xdr:to>
      <xdr:col>18</xdr:col>
      <xdr:colOff>472320</xdr:colOff>
      <xdr:row>24</xdr:row>
      <xdr:rowOff>127800</xdr:rowOff>
    </xdr:to>
    <xdr:graphicFrame>
      <xdr:nvGraphicFramePr>
        <xdr:cNvPr id="4" name="Chart 2"/>
        <xdr:cNvGraphicFramePr/>
      </xdr:nvGraphicFramePr>
      <xdr:xfrm>
        <a:off x="4280400" y="504720"/>
        <a:ext cx="7198920" cy="431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22</xdr:row>
      <xdr:rowOff>0</xdr:rowOff>
    </xdr:from>
    <xdr:to>
      <xdr:col>11</xdr:col>
      <xdr:colOff>472320</xdr:colOff>
      <xdr:row>44</xdr:row>
      <xdr:rowOff>128160</xdr:rowOff>
    </xdr:to>
    <xdr:graphicFrame>
      <xdr:nvGraphicFramePr>
        <xdr:cNvPr id="5" name="Chart 3"/>
        <xdr:cNvGraphicFramePr/>
      </xdr:nvGraphicFramePr>
      <xdr:xfrm>
        <a:off x="0" y="4314960"/>
        <a:ext cx="7198920" cy="431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22</xdr:row>
      <xdr:rowOff>0</xdr:rowOff>
    </xdr:from>
    <xdr:to>
      <xdr:col>18</xdr:col>
      <xdr:colOff>472320</xdr:colOff>
      <xdr:row>44</xdr:row>
      <xdr:rowOff>128160</xdr:rowOff>
    </xdr:to>
    <xdr:graphicFrame>
      <xdr:nvGraphicFramePr>
        <xdr:cNvPr id="6" name="Chart 4"/>
        <xdr:cNvGraphicFramePr/>
      </xdr:nvGraphicFramePr>
      <xdr:xfrm>
        <a:off x="4280400" y="4314960"/>
        <a:ext cx="7198920" cy="431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alesTable" displayName="SalesTable" ref="A1:K251" headerRowCount="1" totalsRowCount="0" totalsRowShown="0">
  <autoFilter ref="A1:K251"/>
  <tableColumns count="11">
    <tableColumn id="1" name="Order_ID"/>
    <tableColumn id="2" name="Date"/>
    <tableColumn id="3" name="Customer_Name"/>
    <tableColumn id="4" name="Region"/>
    <tableColumn id="5" name="Product"/>
    <tableColumn id="6" name="Category"/>
    <tableColumn id="7" name="Quantity"/>
    <tableColumn id="8" name="Unit_Price"/>
    <tableColumn id="9" name="Discount"/>
    <tableColumn id="10" name="Total_Sales"/>
    <tableColumn id="11" name="Profit_Margi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1" style="1" width="10"/>
  </cols>
  <sheetData>
    <row r="2" customFormat="false" ht="34.5" hidden="false" customHeight="true" outlineLevel="0" collapsed="false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5" hidden="false" customHeight="true" outlineLevel="0" collapsed="false">
      <c r="B4" s="3" t="s">
        <v>1</v>
      </c>
      <c r="C4" s="3"/>
      <c r="D4" s="3"/>
      <c r="E4" s="3" t="s">
        <v>2</v>
      </c>
      <c r="F4" s="3"/>
      <c r="G4" s="3"/>
      <c r="H4" s="3" t="s">
        <v>3</v>
      </c>
      <c r="I4" s="3"/>
      <c r="J4" s="3"/>
      <c r="K4" s="3" t="s">
        <v>4</v>
      </c>
      <c r="L4" s="3"/>
      <c r="M4" s="3"/>
    </row>
    <row r="5" customFormat="false" ht="30" hidden="false" customHeight="true" outlineLevel="0" collapsed="false">
      <c r="B5" s="4" t="n">
        <f aca="false">SUM(Sales_Data!J:J)</f>
        <v>2803407.8333</v>
      </c>
      <c r="C5" s="4"/>
      <c r="D5" s="4"/>
      <c r="E5" s="5" t="n">
        <f aca="false">COUNTA(Sales_Data!A:A)-1</f>
        <v>250</v>
      </c>
      <c r="F5" s="5"/>
      <c r="G5" s="5"/>
      <c r="H5" s="4" t="n">
        <f aca="false">AVERAGE(Sales_Data!J:J)</f>
        <v>11213.6313332</v>
      </c>
      <c r="I5" s="4"/>
      <c r="J5" s="4"/>
      <c r="K5" s="5" t="n">
        <v>12</v>
      </c>
      <c r="L5" s="5"/>
      <c r="M5" s="5"/>
    </row>
  </sheetData>
  <mergeCells count="9">
    <mergeCell ref="B2:M2"/>
    <mergeCell ref="B4:D4"/>
    <mergeCell ref="E4:G4"/>
    <mergeCell ref="H4:J4"/>
    <mergeCell ref="K4:M4"/>
    <mergeCell ref="B5:D5"/>
    <mergeCell ref="E5:G5"/>
    <mergeCell ref="H5:J5"/>
    <mergeCell ref="K5:M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1" width="16"/>
  </cols>
  <sheetData>
    <row r="1" customFormat="false" ht="24.75" hidden="false" customHeight="true" outlineLevel="0" collapsed="false">
      <c r="A1" s="6" t="s">
        <v>5</v>
      </c>
      <c r="B1" s="6"/>
      <c r="C1" s="6"/>
      <c r="D1" s="6"/>
      <c r="E1" s="6"/>
      <c r="F1" s="6"/>
    </row>
    <row r="3" customFormat="false" ht="17.25" hidden="false" customHeight="true" outlineLevel="0" collapsed="false">
      <c r="A3" s="7" t="s">
        <v>6</v>
      </c>
      <c r="B3" s="7"/>
      <c r="C3" s="7"/>
      <c r="F3" s="7" t="s">
        <v>7</v>
      </c>
      <c r="G3" s="7"/>
      <c r="H3" s="7"/>
    </row>
    <row r="4" customFormat="false" ht="15" hidden="false" customHeight="true" outlineLevel="0" collapsed="false">
      <c r="A4" s="8" t="s">
        <v>8</v>
      </c>
      <c r="B4" s="8" t="s">
        <v>9</v>
      </c>
      <c r="C4" s="8" t="s">
        <v>10</v>
      </c>
      <c r="D4" s="8" t="s">
        <v>3</v>
      </c>
      <c r="F4" s="8" t="s">
        <v>11</v>
      </c>
      <c r="G4" s="8" t="s">
        <v>9</v>
      </c>
      <c r="H4" s="8" t="s">
        <v>12</v>
      </c>
    </row>
    <row r="5" customFormat="false" ht="15" hidden="false" customHeight="true" outlineLevel="0" collapsed="false">
      <c r="A5" s="9" t="s">
        <v>13</v>
      </c>
      <c r="B5" s="10" t="n">
        <f aca="false">SUMIF(Sales_Data!D:D,A5,Sales_Data!J:J)</f>
        <v>480694.4067</v>
      </c>
      <c r="C5" s="9" t="n">
        <f aca="false">COUNTIF(Sales_Data!D:D,A5)</f>
        <v>54</v>
      </c>
      <c r="D5" s="10" t="n">
        <f aca="false">B5/C5</f>
        <v>8901.74827222222</v>
      </c>
      <c r="F5" s="9" t="s">
        <v>14</v>
      </c>
      <c r="G5" s="10" t="n">
        <f aca="false">SUMIF(Sales_Data!F:F,F5,Sales_Data!J:J)</f>
        <v>689465.1344</v>
      </c>
      <c r="H5" s="11" t="n">
        <f aca="false">G5/SUM($G$5:$G$9)</f>
        <v>0.245938220693492</v>
      </c>
    </row>
    <row r="6" customFormat="false" ht="15" hidden="false" customHeight="true" outlineLevel="0" collapsed="false">
      <c r="A6" s="9" t="s">
        <v>15</v>
      </c>
      <c r="B6" s="10" t="n">
        <f aca="false">SUMIF(Sales_Data!D:D,A6,Sales_Data!J:J)</f>
        <v>597491.737</v>
      </c>
      <c r="C6" s="9" t="n">
        <f aca="false">COUNTIF(Sales_Data!D:D,A6)</f>
        <v>52</v>
      </c>
      <c r="D6" s="10" t="n">
        <f aca="false">B6/C6</f>
        <v>11490.2257115385</v>
      </c>
      <c r="F6" s="9" t="s">
        <v>16</v>
      </c>
      <c r="G6" s="10" t="n">
        <f aca="false">SUMIF(Sales_Data!F:F,F6,Sales_Data!J:J)</f>
        <v>564846.2638</v>
      </c>
      <c r="H6" s="11" t="n">
        <f aca="false">G6/SUM($G$5:$G$9)</f>
        <v>0.201485583756502</v>
      </c>
    </row>
    <row r="7" customFormat="false" ht="15" hidden="false" customHeight="true" outlineLevel="0" collapsed="false">
      <c r="A7" s="9" t="s">
        <v>17</v>
      </c>
      <c r="B7" s="10" t="n">
        <f aca="false">SUMIF(Sales_Data!D:D,A7,Sales_Data!J:J)</f>
        <v>496192.4054</v>
      </c>
      <c r="C7" s="9" t="n">
        <f aca="false">COUNTIF(Sales_Data!D:D,A7)</f>
        <v>41</v>
      </c>
      <c r="D7" s="10" t="n">
        <f aca="false">B7/C7</f>
        <v>12102.2537902439</v>
      </c>
      <c r="F7" s="9" t="s">
        <v>18</v>
      </c>
      <c r="G7" s="10" t="n">
        <f aca="false">SUMIF(Sales_Data!F:F,F7,Sales_Data!J:J)</f>
        <v>525666.8945</v>
      </c>
      <c r="H7" s="11" t="n">
        <f aca="false">G7/SUM($G$5:$G$9)</f>
        <v>0.187509961360569</v>
      </c>
    </row>
    <row r="8" customFormat="false" ht="15" hidden="false" customHeight="true" outlineLevel="0" collapsed="false">
      <c r="A8" s="9" t="s">
        <v>19</v>
      </c>
      <c r="B8" s="10" t="n">
        <f aca="false">SUMIF(Sales_Data!D:D,A8,Sales_Data!J:J)</f>
        <v>570173.0808</v>
      </c>
      <c r="C8" s="9" t="n">
        <f aca="false">COUNTIF(Sales_Data!D:D,A8)</f>
        <v>50</v>
      </c>
      <c r="D8" s="10" t="n">
        <f aca="false">B8/C8</f>
        <v>11403.461616</v>
      </c>
      <c r="F8" s="9" t="s">
        <v>20</v>
      </c>
      <c r="G8" s="10" t="n">
        <f aca="false">SUMIF(Sales_Data!F:F,F8,Sales_Data!J:J)</f>
        <v>499014.3352</v>
      </c>
      <c r="H8" s="11" t="n">
        <f aca="false">G8/SUM($G$5:$G$9)</f>
        <v>0.178002761236702</v>
      </c>
    </row>
    <row r="9" customFormat="false" ht="15" hidden="false" customHeight="true" outlineLevel="0" collapsed="false">
      <c r="A9" s="9" t="s">
        <v>21</v>
      </c>
      <c r="B9" s="10" t="n">
        <f aca="false">SUMIF(Sales_Data!D:D,A9,Sales_Data!J:J)</f>
        <v>658856.2034</v>
      </c>
      <c r="C9" s="9" t="n">
        <f aca="false">COUNTIF(Sales_Data!D:D,A9)</f>
        <v>53</v>
      </c>
      <c r="D9" s="10" t="n">
        <f aca="false">B9/C9</f>
        <v>12431.2491207547</v>
      </c>
      <c r="F9" s="9" t="s">
        <v>22</v>
      </c>
      <c r="G9" s="10" t="n">
        <f aca="false">SUMIF(Sales_Data!F:F,F9,Sales_Data!J:J)</f>
        <v>524415.2054</v>
      </c>
      <c r="H9" s="11" t="n">
        <f aca="false">G9/SUM($G$5:$G$9)</f>
        <v>0.187063472952735</v>
      </c>
    </row>
    <row r="10" customFormat="false" ht="15" hidden="false" customHeight="true" outlineLevel="0" collapsed="false">
      <c r="A10" s="12" t="s">
        <v>23</v>
      </c>
      <c r="B10" s="13" t="n">
        <f aca="false">SUM(B5:B9)</f>
        <v>2803407.8333</v>
      </c>
      <c r="C10" s="14" t="n">
        <f aca="false">SUM(C5:C9)</f>
        <v>250</v>
      </c>
      <c r="D10" s="13" t="n">
        <f aca="false">B10/C10</f>
        <v>11213.6313332</v>
      </c>
    </row>
    <row r="12" customFormat="false" ht="17.25" hidden="false" customHeight="true" outlineLevel="0" collapsed="false">
      <c r="A12" s="7" t="s">
        <v>24</v>
      </c>
      <c r="B12" s="7"/>
      <c r="C12" s="7"/>
      <c r="D12" s="7"/>
      <c r="F12" s="7" t="s">
        <v>25</v>
      </c>
      <c r="G12" s="7"/>
      <c r="H12" s="7"/>
    </row>
    <row r="13" customFormat="false" ht="15" hidden="false" customHeight="true" outlineLevel="0" collapsed="false">
      <c r="A13" s="8" t="s">
        <v>26</v>
      </c>
      <c r="B13" s="8" t="s">
        <v>27</v>
      </c>
      <c r="C13" s="8" t="s">
        <v>9</v>
      </c>
      <c r="D13" s="8" t="s">
        <v>28</v>
      </c>
      <c r="F13" s="8" t="s">
        <v>29</v>
      </c>
      <c r="G13" s="8" t="s">
        <v>30</v>
      </c>
      <c r="H13" s="8" t="s">
        <v>31</v>
      </c>
    </row>
    <row r="14" customFormat="false" ht="15" hidden="false" customHeight="true" outlineLevel="0" collapsed="false">
      <c r="A14" s="9" t="n">
        <v>1</v>
      </c>
      <c r="B14" s="9" t="s">
        <v>32</v>
      </c>
      <c r="C14" s="10" t="n">
        <f aca="false">SUMIF(Sales_Data!E:E,B14,Sales_Data!J:J)</f>
        <v>188647.6974</v>
      </c>
      <c r="D14" s="9" t="n">
        <f aca="false">SUMIF(Sales_Data!E:E,B14,Sales_Data!G:G)</f>
        <v>195</v>
      </c>
      <c r="F14" s="9" t="s">
        <v>33</v>
      </c>
      <c r="G14" s="10" t="n">
        <f aca="false">SUMIFS(Sales_Data!J:J,Sales_Data!B:B,"&gt;="&amp;DATE(2024,1,1),Sales_Data!B:B,"&lt;"&amp;DATE(2024,2,1))</f>
        <v>184628.4126</v>
      </c>
      <c r="H14" s="9" t="n">
        <f aca="false">COUNTIFS(Sales_Data!B:B,"&gt;="&amp;DATE(2024,1,1),Sales_Data!B:B,"&lt;"&amp;DATE(2024,2,1))</f>
        <v>20</v>
      </c>
    </row>
    <row r="15" customFormat="false" ht="15" hidden="false" customHeight="true" outlineLevel="0" collapsed="false">
      <c r="A15" s="9" t="n">
        <v>2</v>
      </c>
      <c r="B15" s="9" t="s">
        <v>34</v>
      </c>
      <c r="C15" s="10" t="n">
        <f aca="false">SUMIF(Sales_Data!E:E,B15,Sales_Data!J:J)</f>
        <v>213456.8273</v>
      </c>
      <c r="D15" s="9" t="n">
        <f aca="false">SUMIF(Sales_Data!E:E,B15,Sales_Data!G:G)</f>
        <v>199</v>
      </c>
      <c r="F15" s="9" t="s">
        <v>35</v>
      </c>
      <c r="G15" s="10" t="n">
        <f aca="false">SUMIFS(Sales_Data!J:J,Sales_Data!B:B,"&gt;="&amp;DATE(2024,2,1),Sales_Data!B:B,"&lt;"&amp;DATE(2024,3,1))</f>
        <v>394267.5628</v>
      </c>
      <c r="H15" s="9" t="n">
        <f aca="false">COUNTIFS(Sales_Data!B:B,"&gt;="&amp;DATE(2024,2,1),Sales_Data!B:B,"&lt;"&amp;DATE(2024,3,1))</f>
        <v>34</v>
      </c>
    </row>
    <row r="16" customFormat="false" ht="15" hidden="false" customHeight="true" outlineLevel="0" collapsed="false">
      <c r="A16" s="9" t="n">
        <v>3</v>
      </c>
      <c r="B16" s="9" t="s">
        <v>36</v>
      </c>
      <c r="C16" s="10" t="n">
        <f aca="false">SUMIF(Sales_Data!E:E,B16,Sales_Data!J:J)</f>
        <v>302483.702</v>
      </c>
      <c r="D16" s="9" t="n">
        <f aca="false">SUMIF(Sales_Data!E:E,B16,Sales_Data!G:G)</f>
        <v>236</v>
      </c>
      <c r="F16" s="9" t="s">
        <v>37</v>
      </c>
      <c r="G16" s="10" t="n">
        <f aca="false">SUMIFS(Sales_Data!J:J,Sales_Data!B:B,"&gt;="&amp;DATE(2024,3,1),Sales_Data!B:B,"&lt;"&amp;DATE(2024,4,1))</f>
        <v>180556.0872</v>
      </c>
      <c r="H16" s="9" t="n">
        <f aca="false">COUNTIFS(Sales_Data!B:B,"&gt;="&amp;DATE(2024,3,1),Sales_Data!B:B,"&lt;"&amp;DATE(2024,4,1))</f>
        <v>22</v>
      </c>
    </row>
    <row r="17" customFormat="false" ht="15" hidden="false" customHeight="true" outlineLevel="0" collapsed="false">
      <c r="A17" s="9" t="n">
        <v>4</v>
      </c>
      <c r="B17" s="9" t="s">
        <v>38</v>
      </c>
      <c r="C17" s="10" t="n">
        <f aca="false">SUMIF(Sales_Data!E:E,B17,Sales_Data!J:J)</f>
        <v>298380.824</v>
      </c>
      <c r="D17" s="9" t="n">
        <f aca="false">SUMIF(Sales_Data!E:E,B17,Sales_Data!G:G)</f>
        <v>315</v>
      </c>
      <c r="F17" s="9" t="s">
        <v>39</v>
      </c>
      <c r="G17" s="10" t="n">
        <f aca="false">SUMIFS(Sales_Data!J:J,Sales_Data!B:B,"&gt;="&amp;DATE(2024,4,1),Sales_Data!B:B,"&lt;"&amp;DATE(2024,5,1))</f>
        <v>166930.1505</v>
      </c>
      <c r="H17" s="9" t="n">
        <f aca="false">COUNTIFS(Sales_Data!B:B,"&gt;="&amp;DATE(2024,4,1),Sales_Data!B:B,"&lt;"&amp;DATE(2024,5,1))</f>
        <v>18</v>
      </c>
    </row>
    <row r="18" customFormat="false" ht="15" hidden="false" customHeight="true" outlineLevel="0" collapsed="false">
      <c r="A18" s="9" t="n">
        <v>5</v>
      </c>
      <c r="B18" s="9" t="s">
        <v>40</v>
      </c>
      <c r="C18" s="10" t="n">
        <f aca="false">SUMIF(Sales_Data!E:E,B18,Sales_Data!J:J)</f>
        <v>220122.9795</v>
      </c>
      <c r="D18" s="9" t="n">
        <f aca="false">SUMIF(Sales_Data!E:E,B18,Sales_Data!G:G)</f>
        <v>213</v>
      </c>
      <c r="F18" s="9" t="s">
        <v>41</v>
      </c>
      <c r="G18" s="10" t="n">
        <f aca="false">SUMIFS(Sales_Data!J:J,Sales_Data!B:B,"&gt;="&amp;DATE(2024,5,1),Sales_Data!B:B,"&lt;"&amp;DATE(2024,6,1))</f>
        <v>183340.8353</v>
      </c>
      <c r="H18" s="9" t="n">
        <f aca="false">COUNTIFS(Sales_Data!B:B,"&gt;="&amp;DATE(2024,5,1),Sales_Data!B:B,"&lt;"&amp;DATE(2024,6,1))</f>
        <v>19</v>
      </c>
    </row>
    <row r="19" customFormat="false" ht="15" hidden="false" customHeight="true" outlineLevel="0" collapsed="false">
      <c r="A19" s="9" t="n">
        <v>6</v>
      </c>
      <c r="B19" s="9" t="s">
        <v>42</v>
      </c>
      <c r="C19" s="10" t="n">
        <f aca="false">SUMIF(Sales_Data!E:E,B19,Sales_Data!J:J)</f>
        <v>367021.5814</v>
      </c>
      <c r="D19" s="9" t="n">
        <f aca="false">SUMIF(Sales_Data!E:E,B19,Sales_Data!G:G)</f>
        <v>306</v>
      </c>
      <c r="F19" s="9" t="s">
        <v>43</v>
      </c>
      <c r="G19" s="10" t="n">
        <f aca="false">SUMIFS(Sales_Data!J:J,Sales_Data!B:B,"&gt;="&amp;DATE(2024,6,1),Sales_Data!B:B,"&lt;"&amp;DATE(2024,7,1))</f>
        <v>166433.3802</v>
      </c>
      <c r="H19" s="9" t="n">
        <f aca="false">COUNTIFS(Sales_Data!B:B,"&gt;="&amp;DATE(2024,6,1),Sales_Data!B:B,"&lt;"&amp;DATE(2024,7,1))</f>
        <v>15</v>
      </c>
    </row>
    <row r="20" customFormat="false" ht="15" hidden="false" customHeight="true" outlineLevel="0" collapsed="false">
      <c r="A20" s="9" t="n">
        <v>7</v>
      </c>
      <c r="B20" s="9" t="s">
        <v>44</v>
      </c>
      <c r="C20" s="10" t="n">
        <f aca="false">SUMIF(Sales_Data!E:E,B20,Sales_Data!J:J)</f>
        <v>275217.8918</v>
      </c>
      <c r="D20" s="9" t="n">
        <f aca="false">SUMIF(Sales_Data!E:E,B20,Sales_Data!G:G)</f>
        <v>257</v>
      </c>
      <c r="F20" s="9" t="s">
        <v>45</v>
      </c>
      <c r="G20" s="10" t="n">
        <f aca="false">SUMIFS(Sales_Data!J:J,Sales_Data!B:B,"&gt;="&amp;DATE(2024,7,1),Sales_Data!B:B,"&lt;"&amp;DATE(2024,8,1))</f>
        <v>255253.4809</v>
      </c>
      <c r="H20" s="9" t="n">
        <f aca="false">COUNTIFS(Sales_Data!B:B,"&gt;="&amp;DATE(2024,7,1),Sales_Data!B:B,"&lt;"&amp;DATE(2024,8,1))</f>
        <v>21</v>
      </c>
    </row>
    <row r="21" customFormat="false" ht="15" hidden="false" customHeight="true" outlineLevel="0" collapsed="false">
      <c r="A21" s="9" t="n">
        <v>8</v>
      </c>
      <c r="B21" s="9" t="s">
        <v>46</v>
      </c>
      <c r="C21" s="10" t="n">
        <f aca="false">SUMIF(Sales_Data!E:E,B21,Sales_Data!J:J)</f>
        <v>363106.0547</v>
      </c>
      <c r="D21" s="9" t="n">
        <f aca="false">SUMIF(Sales_Data!E:E,B21,Sales_Data!G:G)</f>
        <v>331</v>
      </c>
      <c r="F21" s="9" t="s">
        <v>47</v>
      </c>
      <c r="G21" s="10" t="n">
        <f aca="false">SUMIFS(Sales_Data!J:J,Sales_Data!B:B,"&gt;="&amp;DATE(2024,8,1),Sales_Data!B:B,"&lt;"&amp;DATE(2024,9,1))</f>
        <v>273152.7987</v>
      </c>
      <c r="H21" s="9" t="n">
        <f aca="false">COUNTIFS(Sales_Data!B:B,"&gt;="&amp;DATE(2024,8,1),Sales_Data!B:B,"&lt;"&amp;DATE(2024,9,1))</f>
        <v>20</v>
      </c>
    </row>
    <row r="22" customFormat="false" ht="15" hidden="false" customHeight="true" outlineLevel="0" collapsed="false">
      <c r="A22" s="9" t="n">
        <v>9</v>
      </c>
      <c r="B22" s="9" t="s">
        <v>48</v>
      </c>
      <c r="C22" s="10" t="n">
        <f aca="false">SUMIF(Sales_Data!E:E,B22,Sales_Data!J:J)</f>
        <v>309566.6849</v>
      </c>
      <c r="D22" s="9" t="n">
        <f aca="false">SUMIF(Sales_Data!E:E,B22,Sales_Data!G:G)</f>
        <v>239</v>
      </c>
      <c r="F22" s="9" t="s">
        <v>49</v>
      </c>
      <c r="G22" s="10" t="n">
        <f aca="false">SUMIFS(Sales_Data!J:J,Sales_Data!B:B,"&gt;="&amp;DATE(2024,9,1),Sales_Data!B:B,"&lt;"&amp;DATE(2024,10,1))</f>
        <v>194739.2045</v>
      </c>
      <c r="H22" s="9" t="n">
        <f aca="false">COUNTIFS(Sales_Data!B:B,"&gt;="&amp;DATE(2024,9,1),Sales_Data!B:B,"&lt;"&amp;DATE(2024,10,1))</f>
        <v>20</v>
      </c>
    </row>
    <row r="23" customFormat="false" ht="15" hidden="false" customHeight="true" outlineLevel="0" collapsed="false">
      <c r="A23" s="9" t="n">
        <v>10</v>
      </c>
      <c r="B23" s="9" t="s">
        <v>50</v>
      </c>
      <c r="C23" s="10" t="n">
        <f aca="false">SUMIF(Sales_Data!E:E,B23,Sales_Data!J:J)</f>
        <v>265403.5903</v>
      </c>
      <c r="D23" s="9" t="n">
        <f aca="false">SUMIF(Sales_Data!E:E,B23,Sales_Data!G:G)</f>
        <v>277</v>
      </c>
      <c r="F23" s="9" t="s">
        <v>51</v>
      </c>
      <c r="G23" s="10" t="n">
        <f aca="false">SUMIFS(Sales_Data!J:J,Sales_Data!B:B,"&gt;="&amp;DATE(2024,10,1),Sales_Data!B:B,"&lt;"&amp;DATE(2024,11,1))</f>
        <v>454086.96</v>
      </c>
      <c r="H23" s="9" t="n">
        <f aca="false">COUNTIFS(Sales_Data!B:B,"&gt;="&amp;DATE(2024,10,1),Sales_Data!B:B,"&lt;"&amp;DATE(2024,11,1))</f>
        <v>31</v>
      </c>
    </row>
    <row r="24" customFormat="false" ht="15" hidden="false" customHeight="true" outlineLevel="0" collapsed="false">
      <c r="F24" s="9" t="s">
        <v>52</v>
      </c>
      <c r="G24" s="10" t="n">
        <f aca="false">SUMIFS(Sales_Data!J:J,Sales_Data!B:B,"&gt;="&amp;DATE(2024,11,1),Sales_Data!B:B,"&lt;"&amp;DATE(2024,12,1))</f>
        <v>139265.4222</v>
      </c>
      <c r="H24" s="9" t="n">
        <f aca="false">COUNTIFS(Sales_Data!B:B,"&gt;="&amp;DATE(2024,11,1),Sales_Data!B:B,"&lt;"&amp;DATE(2024,12,1))</f>
        <v>15</v>
      </c>
    </row>
    <row r="25" customFormat="false" ht="15" hidden="false" customHeight="true" outlineLevel="0" collapsed="false">
      <c r="F25" s="9" t="s">
        <v>53</v>
      </c>
      <c r="G25" s="10" t="n">
        <f aca="false">SUMIFS(Sales_Data!J:J,Sales_Data!B:B,"&gt;="&amp;DATE(2024,12,1),Sales_Data!B:B,"&lt;"&amp;DATE(2024,13,1))</f>
        <v>210753.5384</v>
      </c>
      <c r="H25" s="9" t="n">
        <f aca="false">COUNTIFS(Sales_Data!B:B,"&gt;="&amp;DATE(2024,12,1),Sales_Data!B:B,"&lt;"&amp;DATE(2024,13,1))</f>
        <v>15</v>
      </c>
    </row>
  </sheetData>
  <mergeCells count="5">
    <mergeCell ref="A1:F1"/>
    <mergeCell ref="A3:C3"/>
    <mergeCell ref="F3:H3"/>
    <mergeCell ref="A12:D12"/>
    <mergeCell ref="F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24.75" hidden="false" customHeight="true" outlineLevel="0" collapsed="false">
      <c r="A1" s="6" t="s">
        <v>54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1" width="14"/>
  </cols>
  <sheetData>
    <row r="1" customFormat="false" ht="15" hidden="false" customHeight="true" outlineLevel="0" collapsed="false">
      <c r="A1" s="15" t="s">
        <v>55</v>
      </c>
      <c r="B1" s="15" t="s">
        <v>56</v>
      </c>
      <c r="C1" s="15" t="s">
        <v>57</v>
      </c>
      <c r="D1" s="15" t="s">
        <v>8</v>
      </c>
      <c r="E1" s="15" t="s">
        <v>27</v>
      </c>
      <c r="F1" s="15" t="s">
        <v>11</v>
      </c>
      <c r="G1" s="15" t="s">
        <v>58</v>
      </c>
      <c r="H1" s="15" t="s">
        <v>59</v>
      </c>
      <c r="I1" s="15" t="s">
        <v>60</v>
      </c>
      <c r="J1" s="15" t="s">
        <v>61</v>
      </c>
      <c r="K1" s="15" t="s">
        <v>62</v>
      </c>
    </row>
    <row r="2" customFormat="false" ht="15" hidden="false" customHeight="true" outlineLevel="0" collapsed="false">
      <c r="A2" s="1" t="s">
        <v>63</v>
      </c>
      <c r="B2" s="16" t="n">
        <v>45550</v>
      </c>
      <c r="C2" s="1" t="s">
        <v>64</v>
      </c>
      <c r="D2" s="1" t="s">
        <v>17</v>
      </c>
      <c r="E2" s="1" t="s">
        <v>32</v>
      </c>
      <c r="F2" s="1" t="s">
        <v>18</v>
      </c>
      <c r="G2" s="1" t="n">
        <v>9</v>
      </c>
      <c r="H2" s="17" t="n">
        <v>1942.56</v>
      </c>
      <c r="I2" s="18" t="n">
        <v>0.04</v>
      </c>
      <c r="J2" s="17" t="n">
        <f aca="false">G2*H2*(1-I2)</f>
        <v>16783.7184</v>
      </c>
      <c r="K2" s="18" t="n">
        <v>0.37</v>
      </c>
    </row>
    <row r="3" customFormat="false" ht="15" hidden="false" customHeight="true" outlineLevel="0" collapsed="false">
      <c r="A3" s="1" t="s">
        <v>65</v>
      </c>
      <c r="B3" s="16" t="n">
        <v>45347</v>
      </c>
      <c r="C3" s="1" t="s">
        <v>66</v>
      </c>
      <c r="D3" s="1" t="s">
        <v>13</v>
      </c>
      <c r="E3" s="1" t="s">
        <v>42</v>
      </c>
      <c r="F3" s="1" t="s">
        <v>16</v>
      </c>
      <c r="G3" s="1" t="n">
        <v>3</v>
      </c>
      <c r="H3" s="17" t="n">
        <v>905.53</v>
      </c>
      <c r="I3" s="18" t="n">
        <v>0.24</v>
      </c>
      <c r="J3" s="17" t="n">
        <f aca="false">G3*H3*(1-I3)</f>
        <v>2064.6084</v>
      </c>
      <c r="K3" s="18" t="n">
        <v>0.16</v>
      </c>
    </row>
    <row r="4" customFormat="false" ht="15" hidden="false" customHeight="true" outlineLevel="0" collapsed="false">
      <c r="A4" s="1" t="s">
        <v>67</v>
      </c>
      <c r="B4" s="16" t="n">
        <v>45568</v>
      </c>
      <c r="C4" s="1" t="s">
        <v>66</v>
      </c>
      <c r="D4" s="1" t="s">
        <v>19</v>
      </c>
      <c r="E4" s="1" t="s">
        <v>46</v>
      </c>
      <c r="F4" s="1" t="s">
        <v>16</v>
      </c>
      <c r="G4" s="1" t="n">
        <v>2</v>
      </c>
      <c r="H4" s="17" t="n">
        <v>788.59</v>
      </c>
      <c r="I4" s="18" t="n">
        <v>0.29</v>
      </c>
      <c r="J4" s="17" t="n">
        <f aca="false">G4*H4*(1-I4)</f>
        <v>1119.7978</v>
      </c>
      <c r="K4" s="18" t="n">
        <v>0.4</v>
      </c>
    </row>
    <row r="5" customFormat="false" ht="15" hidden="false" customHeight="true" outlineLevel="0" collapsed="false">
      <c r="A5" s="1" t="s">
        <v>68</v>
      </c>
      <c r="B5" s="16" t="n">
        <v>45512</v>
      </c>
      <c r="C5" s="1" t="s">
        <v>69</v>
      </c>
      <c r="D5" s="1" t="s">
        <v>15</v>
      </c>
      <c r="E5" s="1" t="s">
        <v>46</v>
      </c>
      <c r="F5" s="1" t="s">
        <v>18</v>
      </c>
      <c r="G5" s="1" t="n">
        <v>9</v>
      </c>
      <c r="H5" s="17" t="n">
        <v>1305.21</v>
      </c>
      <c r="I5" s="18" t="n">
        <v>0.15</v>
      </c>
      <c r="J5" s="17" t="n">
        <f aca="false">G5*H5*(1-I5)</f>
        <v>9984.8565</v>
      </c>
      <c r="K5" s="18" t="n">
        <v>0.35</v>
      </c>
    </row>
    <row r="6" customFormat="false" ht="15" hidden="false" customHeight="true" outlineLevel="0" collapsed="false">
      <c r="A6" s="1" t="s">
        <v>70</v>
      </c>
      <c r="B6" s="16" t="n">
        <v>45395</v>
      </c>
      <c r="C6" s="1" t="s">
        <v>71</v>
      </c>
      <c r="D6" s="1" t="s">
        <v>15</v>
      </c>
      <c r="E6" s="1" t="s">
        <v>34</v>
      </c>
      <c r="F6" s="1" t="s">
        <v>20</v>
      </c>
      <c r="G6" s="1" t="n">
        <v>17</v>
      </c>
      <c r="H6" s="17" t="n">
        <v>1803.21</v>
      </c>
      <c r="I6" s="18" t="n">
        <v>0.15</v>
      </c>
      <c r="J6" s="17" t="n">
        <f aca="false">G6*H6*(1-I6)</f>
        <v>26056.3845</v>
      </c>
      <c r="K6" s="18" t="n">
        <v>0.34</v>
      </c>
    </row>
    <row r="7" customFormat="false" ht="15" hidden="false" customHeight="true" outlineLevel="0" collapsed="false">
      <c r="A7" s="1" t="s">
        <v>72</v>
      </c>
      <c r="B7" s="16" t="n">
        <v>45638</v>
      </c>
      <c r="C7" s="1" t="s">
        <v>73</v>
      </c>
      <c r="D7" s="1" t="s">
        <v>19</v>
      </c>
      <c r="E7" s="1" t="s">
        <v>42</v>
      </c>
      <c r="F7" s="1" t="s">
        <v>22</v>
      </c>
      <c r="G7" s="1" t="n">
        <v>11</v>
      </c>
      <c r="H7" s="17" t="n">
        <v>1174.2</v>
      </c>
      <c r="I7" s="18" t="n">
        <v>0.22</v>
      </c>
      <c r="J7" s="17" t="n">
        <f aca="false">G7*H7*(1-I7)</f>
        <v>10074.636</v>
      </c>
      <c r="K7" s="18" t="n">
        <v>0.44</v>
      </c>
    </row>
    <row r="8" customFormat="false" ht="15" hidden="false" customHeight="true" outlineLevel="0" collapsed="false">
      <c r="A8" s="1" t="s">
        <v>74</v>
      </c>
      <c r="B8" s="16" t="n">
        <v>45477</v>
      </c>
      <c r="C8" s="1" t="s">
        <v>66</v>
      </c>
      <c r="D8" s="1" t="s">
        <v>13</v>
      </c>
      <c r="E8" s="1" t="s">
        <v>48</v>
      </c>
      <c r="F8" s="1" t="s">
        <v>14</v>
      </c>
      <c r="G8" s="1" t="n">
        <v>19</v>
      </c>
      <c r="H8" s="17" t="n">
        <v>1784.2</v>
      </c>
      <c r="I8" s="18" t="n">
        <v>0.13</v>
      </c>
      <c r="J8" s="17" t="n">
        <f aca="false">G8*H8*(1-I8)</f>
        <v>29492.826</v>
      </c>
      <c r="K8" s="18" t="n">
        <v>0.28</v>
      </c>
    </row>
    <row r="9" customFormat="false" ht="15" hidden="false" customHeight="true" outlineLevel="0" collapsed="false">
      <c r="A9" s="1" t="s">
        <v>75</v>
      </c>
      <c r="B9" s="16" t="n">
        <v>45349</v>
      </c>
      <c r="C9" s="1" t="s">
        <v>71</v>
      </c>
      <c r="D9" s="1" t="s">
        <v>13</v>
      </c>
      <c r="E9" s="1" t="s">
        <v>40</v>
      </c>
      <c r="F9" s="1" t="s">
        <v>18</v>
      </c>
      <c r="G9" s="1" t="n">
        <v>11</v>
      </c>
      <c r="H9" s="17" t="n">
        <v>1363.33</v>
      </c>
      <c r="I9" s="18" t="n">
        <v>0.16</v>
      </c>
      <c r="J9" s="17" t="n">
        <f aca="false">G9*H9*(1-I9)</f>
        <v>12597.1692</v>
      </c>
      <c r="K9" s="18" t="n">
        <v>0.16</v>
      </c>
    </row>
    <row r="10" customFormat="false" ht="15" hidden="false" customHeight="true" outlineLevel="0" collapsed="false">
      <c r="A10" s="1" t="s">
        <v>76</v>
      </c>
      <c r="B10" s="16" t="n">
        <v>45588</v>
      </c>
      <c r="C10" s="1" t="s">
        <v>77</v>
      </c>
      <c r="D10" s="1" t="s">
        <v>15</v>
      </c>
      <c r="E10" s="1" t="s">
        <v>48</v>
      </c>
      <c r="F10" s="1" t="s">
        <v>20</v>
      </c>
      <c r="G10" s="1" t="n">
        <v>14</v>
      </c>
      <c r="H10" s="17" t="n">
        <v>2072.49</v>
      </c>
      <c r="I10" s="18" t="n">
        <v>0.02</v>
      </c>
      <c r="J10" s="17" t="n">
        <f aca="false">G10*H10*(1-I10)</f>
        <v>28434.5628</v>
      </c>
      <c r="K10" s="18" t="n">
        <v>0.33</v>
      </c>
    </row>
    <row r="11" customFormat="false" ht="15" hidden="false" customHeight="true" outlineLevel="0" collapsed="false">
      <c r="A11" s="1" t="s">
        <v>78</v>
      </c>
      <c r="B11" s="16" t="n">
        <v>45549</v>
      </c>
      <c r="C11" s="1" t="s">
        <v>71</v>
      </c>
      <c r="D11" s="1" t="s">
        <v>13</v>
      </c>
      <c r="E11" s="1" t="s">
        <v>38</v>
      </c>
      <c r="F11" s="1" t="s">
        <v>18</v>
      </c>
      <c r="G11" s="1" t="n">
        <v>6</v>
      </c>
      <c r="H11" s="17" t="n">
        <v>1374.43</v>
      </c>
      <c r="I11" s="18" t="n">
        <v>0.09</v>
      </c>
      <c r="J11" s="17" t="n">
        <f aca="false">G11*H11*(1-I11)</f>
        <v>7504.3878</v>
      </c>
      <c r="K11" s="18" t="n">
        <v>0.22</v>
      </c>
    </row>
    <row r="12" customFormat="false" ht="15" hidden="false" customHeight="true" outlineLevel="0" collapsed="false">
      <c r="A12" s="1" t="s">
        <v>79</v>
      </c>
      <c r="B12" s="16" t="n">
        <v>45510</v>
      </c>
      <c r="C12" s="1" t="s">
        <v>77</v>
      </c>
      <c r="D12" s="1" t="s">
        <v>15</v>
      </c>
      <c r="E12" s="1" t="s">
        <v>44</v>
      </c>
      <c r="F12" s="1" t="s">
        <v>14</v>
      </c>
      <c r="G12" s="1" t="n">
        <v>12</v>
      </c>
      <c r="H12" s="17" t="n">
        <v>1869.2</v>
      </c>
      <c r="I12" s="18" t="n">
        <v>0.03</v>
      </c>
      <c r="J12" s="17" t="n">
        <f aca="false">G12*H12*(1-I12)</f>
        <v>21757.488</v>
      </c>
      <c r="K12" s="18" t="n">
        <v>0.44</v>
      </c>
    </row>
    <row r="13" customFormat="false" ht="15" hidden="false" customHeight="true" outlineLevel="0" collapsed="false">
      <c r="A13" s="1" t="s">
        <v>80</v>
      </c>
      <c r="B13" s="16" t="n">
        <v>45325</v>
      </c>
      <c r="C13" s="1" t="s">
        <v>81</v>
      </c>
      <c r="D13" s="1" t="s">
        <v>15</v>
      </c>
      <c r="E13" s="1" t="s">
        <v>38</v>
      </c>
      <c r="F13" s="1" t="s">
        <v>14</v>
      </c>
      <c r="G13" s="1" t="n">
        <v>18</v>
      </c>
      <c r="H13" s="17" t="n">
        <v>1224.97</v>
      </c>
      <c r="I13" s="18" t="n">
        <v>0.22</v>
      </c>
      <c r="J13" s="17" t="n">
        <f aca="false">G13*H13*(1-I13)</f>
        <v>17198.5788</v>
      </c>
      <c r="K13" s="18" t="n">
        <v>0.41</v>
      </c>
    </row>
    <row r="14" customFormat="false" ht="15" hidden="false" customHeight="true" outlineLevel="0" collapsed="false">
      <c r="A14" s="1" t="s">
        <v>82</v>
      </c>
      <c r="B14" s="16" t="n">
        <v>45651</v>
      </c>
      <c r="C14" s="1" t="s">
        <v>69</v>
      </c>
      <c r="D14" s="1" t="s">
        <v>13</v>
      </c>
      <c r="E14" s="1" t="s">
        <v>50</v>
      </c>
      <c r="F14" s="1" t="s">
        <v>14</v>
      </c>
      <c r="G14" s="1" t="n">
        <v>7</v>
      </c>
      <c r="H14" s="17" t="n">
        <v>2098.9</v>
      </c>
      <c r="I14" s="18" t="n">
        <v>0.12</v>
      </c>
      <c r="J14" s="17" t="n">
        <f aca="false">G14*H14*(1-I14)</f>
        <v>12929.224</v>
      </c>
      <c r="K14" s="18" t="n">
        <v>0.3</v>
      </c>
    </row>
    <row r="15" customFormat="false" ht="15" hidden="false" customHeight="true" outlineLevel="0" collapsed="false">
      <c r="A15" s="1" t="s">
        <v>83</v>
      </c>
      <c r="B15" s="16" t="n">
        <v>45591</v>
      </c>
      <c r="C15" s="1" t="s">
        <v>81</v>
      </c>
      <c r="D15" s="1" t="s">
        <v>21</v>
      </c>
      <c r="E15" s="1" t="s">
        <v>48</v>
      </c>
      <c r="F15" s="1" t="s">
        <v>22</v>
      </c>
      <c r="G15" s="1" t="n">
        <v>20</v>
      </c>
      <c r="H15" s="17" t="n">
        <v>2119.51</v>
      </c>
      <c r="I15" s="18" t="n">
        <v>0.08</v>
      </c>
      <c r="J15" s="17" t="n">
        <f aca="false">G15*H15*(1-I15)</f>
        <v>38998.984</v>
      </c>
      <c r="K15" s="18" t="n">
        <v>0.2</v>
      </c>
    </row>
    <row r="16" customFormat="false" ht="15" hidden="false" customHeight="true" outlineLevel="0" collapsed="false">
      <c r="A16" s="1" t="s">
        <v>84</v>
      </c>
      <c r="B16" s="16" t="n">
        <v>45337</v>
      </c>
      <c r="C16" s="1" t="s">
        <v>85</v>
      </c>
      <c r="D16" s="1" t="s">
        <v>21</v>
      </c>
      <c r="E16" s="1" t="s">
        <v>40</v>
      </c>
      <c r="F16" s="1" t="s">
        <v>22</v>
      </c>
      <c r="G16" s="1" t="n">
        <v>18</v>
      </c>
      <c r="H16" s="17" t="n">
        <v>415.37</v>
      </c>
      <c r="I16" s="18" t="n">
        <v>0.16</v>
      </c>
      <c r="J16" s="17" t="n">
        <f aca="false">G16*H16*(1-I16)</f>
        <v>6280.3944</v>
      </c>
      <c r="K16" s="18" t="n">
        <v>0.32</v>
      </c>
    </row>
    <row r="17" customFormat="false" ht="15" hidden="false" customHeight="true" outlineLevel="0" collapsed="false">
      <c r="A17" s="1" t="s">
        <v>86</v>
      </c>
      <c r="B17" s="16" t="n">
        <v>45594</v>
      </c>
      <c r="C17" s="1" t="s">
        <v>77</v>
      </c>
      <c r="D17" s="1" t="s">
        <v>21</v>
      </c>
      <c r="E17" s="1" t="s">
        <v>48</v>
      </c>
      <c r="F17" s="1" t="s">
        <v>16</v>
      </c>
      <c r="G17" s="1" t="n">
        <v>15</v>
      </c>
      <c r="H17" s="17" t="n">
        <v>1636.16</v>
      </c>
      <c r="I17" s="18" t="n">
        <v>0.17</v>
      </c>
      <c r="J17" s="17" t="n">
        <f aca="false">G17*H17*(1-I17)</f>
        <v>20370.192</v>
      </c>
      <c r="K17" s="18" t="n">
        <v>0.28</v>
      </c>
    </row>
    <row r="18" customFormat="false" ht="15" hidden="false" customHeight="true" outlineLevel="0" collapsed="false">
      <c r="A18" s="1" t="s">
        <v>87</v>
      </c>
      <c r="B18" s="16" t="n">
        <v>45520</v>
      </c>
      <c r="C18" s="1" t="s">
        <v>88</v>
      </c>
      <c r="D18" s="1" t="s">
        <v>13</v>
      </c>
      <c r="E18" s="1" t="s">
        <v>38</v>
      </c>
      <c r="F18" s="1" t="s">
        <v>18</v>
      </c>
      <c r="G18" s="1" t="n">
        <v>8</v>
      </c>
      <c r="H18" s="17" t="n">
        <v>1371.92</v>
      </c>
      <c r="I18" s="18" t="n">
        <v>0.26</v>
      </c>
      <c r="J18" s="17" t="n">
        <f aca="false">G18*H18*(1-I18)</f>
        <v>8121.7664</v>
      </c>
      <c r="K18" s="18" t="n">
        <v>0.33</v>
      </c>
    </row>
    <row r="19" customFormat="false" ht="15" hidden="false" customHeight="true" outlineLevel="0" collapsed="false">
      <c r="A19" s="1" t="s">
        <v>89</v>
      </c>
      <c r="B19" s="16" t="n">
        <v>45381</v>
      </c>
      <c r="C19" s="1" t="s">
        <v>85</v>
      </c>
      <c r="D19" s="1" t="s">
        <v>19</v>
      </c>
      <c r="E19" s="1" t="s">
        <v>50</v>
      </c>
      <c r="F19" s="1" t="s">
        <v>18</v>
      </c>
      <c r="G19" s="1" t="n">
        <v>2</v>
      </c>
      <c r="H19" s="17" t="n">
        <v>1333.77</v>
      </c>
      <c r="I19" s="18" t="n">
        <v>0.15</v>
      </c>
      <c r="J19" s="17" t="n">
        <f aca="false">G19*H19*(1-I19)</f>
        <v>2267.409</v>
      </c>
      <c r="K19" s="18" t="n">
        <v>0.41</v>
      </c>
    </row>
    <row r="20" customFormat="false" ht="15" hidden="false" customHeight="true" outlineLevel="0" collapsed="false">
      <c r="A20" s="1" t="s">
        <v>90</v>
      </c>
      <c r="B20" s="16" t="n">
        <v>45552</v>
      </c>
      <c r="C20" s="1" t="s">
        <v>73</v>
      </c>
      <c r="D20" s="1" t="s">
        <v>13</v>
      </c>
      <c r="E20" s="1" t="s">
        <v>46</v>
      </c>
      <c r="F20" s="1" t="s">
        <v>18</v>
      </c>
      <c r="G20" s="1" t="n">
        <v>10</v>
      </c>
      <c r="H20" s="17" t="n">
        <v>1684.74</v>
      </c>
      <c r="I20" s="18" t="n">
        <v>0.3</v>
      </c>
      <c r="J20" s="17" t="n">
        <f aca="false">G20*H20*(1-I20)</f>
        <v>11793.18</v>
      </c>
      <c r="K20" s="18" t="n">
        <v>0.16</v>
      </c>
    </row>
    <row r="21" customFormat="false" ht="15" hidden="false" customHeight="true" outlineLevel="0" collapsed="false">
      <c r="A21" s="1" t="s">
        <v>91</v>
      </c>
      <c r="B21" s="16" t="n">
        <v>45527</v>
      </c>
      <c r="C21" s="1" t="s">
        <v>73</v>
      </c>
      <c r="D21" s="1" t="s">
        <v>13</v>
      </c>
      <c r="E21" s="1" t="s">
        <v>38</v>
      </c>
      <c r="F21" s="1" t="s">
        <v>16</v>
      </c>
      <c r="G21" s="1" t="n">
        <v>10</v>
      </c>
      <c r="H21" s="17" t="n">
        <v>740.15</v>
      </c>
      <c r="I21" s="18" t="n">
        <v>0.26</v>
      </c>
      <c r="J21" s="17" t="n">
        <f aca="false">G21*H21*(1-I21)</f>
        <v>5477.11</v>
      </c>
      <c r="K21" s="18" t="n">
        <v>0.28</v>
      </c>
    </row>
    <row r="22" customFormat="false" ht="15" hidden="false" customHeight="true" outlineLevel="0" collapsed="false">
      <c r="A22" s="1" t="s">
        <v>92</v>
      </c>
      <c r="B22" s="16" t="n">
        <v>45475</v>
      </c>
      <c r="C22" s="1" t="s">
        <v>93</v>
      </c>
      <c r="D22" s="1" t="s">
        <v>19</v>
      </c>
      <c r="E22" s="1" t="s">
        <v>34</v>
      </c>
      <c r="F22" s="1" t="s">
        <v>18</v>
      </c>
      <c r="G22" s="1" t="n">
        <v>18</v>
      </c>
      <c r="H22" s="17" t="n">
        <v>1359.84</v>
      </c>
      <c r="I22" s="18" t="n">
        <v>0.26</v>
      </c>
      <c r="J22" s="17" t="n">
        <f aca="false">G22*H22*(1-I22)</f>
        <v>18113.0688</v>
      </c>
      <c r="K22" s="18" t="n">
        <v>0.17</v>
      </c>
    </row>
    <row r="23" customFormat="false" ht="15" hidden="false" customHeight="true" outlineLevel="0" collapsed="false">
      <c r="A23" s="1" t="s">
        <v>94</v>
      </c>
      <c r="B23" s="16" t="n">
        <v>45459</v>
      </c>
      <c r="C23" s="1" t="s">
        <v>95</v>
      </c>
      <c r="D23" s="1" t="s">
        <v>19</v>
      </c>
      <c r="E23" s="1" t="s">
        <v>38</v>
      </c>
      <c r="F23" s="1" t="s">
        <v>20</v>
      </c>
      <c r="G23" s="1" t="n">
        <v>14</v>
      </c>
      <c r="H23" s="17" t="n">
        <v>1516.27</v>
      </c>
      <c r="I23" s="18" t="n">
        <v>0.06</v>
      </c>
      <c r="J23" s="17" t="n">
        <f aca="false">G23*H23*(1-I23)</f>
        <v>19954.1132</v>
      </c>
      <c r="K23" s="18" t="n">
        <v>0.39</v>
      </c>
    </row>
    <row r="24" customFormat="false" ht="15" hidden="false" customHeight="true" outlineLevel="0" collapsed="false">
      <c r="A24" s="1" t="s">
        <v>96</v>
      </c>
      <c r="B24" s="16" t="n">
        <v>45576</v>
      </c>
      <c r="C24" s="1" t="s">
        <v>73</v>
      </c>
      <c r="D24" s="1" t="s">
        <v>17</v>
      </c>
      <c r="E24" s="1" t="s">
        <v>46</v>
      </c>
      <c r="F24" s="1" t="s">
        <v>14</v>
      </c>
      <c r="G24" s="1" t="n">
        <v>19</v>
      </c>
      <c r="H24" s="17" t="n">
        <v>2128.08</v>
      </c>
      <c r="I24" s="18" t="n">
        <v>0.02</v>
      </c>
      <c r="J24" s="17" t="n">
        <f aca="false">G24*H24*(1-I24)</f>
        <v>39624.8496</v>
      </c>
      <c r="K24" s="18" t="n">
        <v>0.3</v>
      </c>
    </row>
    <row r="25" customFormat="false" ht="15" hidden="false" customHeight="true" outlineLevel="0" collapsed="false">
      <c r="A25" s="1" t="s">
        <v>97</v>
      </c>
      <c r="B25" s="16" t="n">
        <v>45324</v>
      </c>
      <c r="C25" s="1" t="s">
        <v>71</v>
      </c>
      <c r="D25" s="1" t="s">
        <v>15</v>
      </c>
      <c r="E25" s="1" t="s">
        <v>42</v>
      </c>
      <c r="F25" s="1" t="s">
        <v>16</v>
      </c>
      <c r="G25" s="1" t="n">
        <v>13</v>
      </c>
      <c r="H25" s="17" t="n">
        <v>233</v>
      </c>
      <c r="I25" s="18" t="n">
        <v>0.08</v>
      </c>
      <c r="J25" s="17" t="n">
        <f aca="false">G25*H25*(1-I25)</f>
        <v>2786.68</v>
      </c>
      <c r="K25" s="18" t="n">
        <v>0.33</v>
      </c>
    </row>
    <row r="26" customFormat="false" ht="15" hidden="false" customHeight="true" outlineLevel="0" collapsed="false">
      <c r="A26" s="1" t="s">
        <v>98</v>
      </c>
      <c r="B26" s="16" t="n">
        <v>45365</v>
      </c>
      <c r="C26" s="1" t="s">
        <v>93</v>
      </c>
      <c r="D26" s="1" t="s">
        <v>17</v>
      </c>
      <c r="E26" s="1" t="s">
        <v>50</v>
      </c>
      <c r="F26" s="1" t="s">
        <v>14</v>
      </c>
      <c r="G26" s="1" t="n">
        <v>8</v>
      </c>
      <c r="H26" s="17" t="n">
        <v>1217.71</v>
      </c>
      <c r="I26" s="18" t="n">
        <v>0.21</v>
      </c>
      <c r="J26" s="17" t="n">
        <f aca="false">G26*H26*(1-I26)</f>
        <v>7695.9272</v>
      </c>
      <c r="K26" s="18" t="n">
        <v>0.33</v>
      </c>
    </row>
    <row r="27" customFormat="false" ht="15" hidden="false" customHeight="true" outlineLevel="0" collapsed="false">
      <c r="A27" s="1" t="s">
        <v>99</v>
      </c>
      <c r="B27" s="16" t="n">
        <v>45567</v>
      </c>
      <c r="C27" s="1" t="s">
        <v>88</v>
      </c>
      <c r="D27" s="1" t="s">
        <v>19</v>
      </c>
      <c r="E27" s="1" t="s">
        <v>44</v>
      </c>
      <c r="F27" s="1" t="s">
        <v>22</v>
      </c>
      <c r="G27" s="1" t="n">
        <v>4</v>
      </c>
      <c r="H27" s="17" t="n">
        <v>155.32</v>
      </c>
      <c r="I27" s="18" t="n">
        <v>0.13</v>
      </c>
      <c r="J27" s="17" t="n">
        <f aca="false">G27*H27*(1-I27)</f>
        <v>540.5136</v>
      </c>
      <c r="K27" s="18" t="n">
        <v>0.24</v>
      </c>
    </row>
    <row r="28" customFormat="false" ht="15" hidden="false" customHeight="true" outlineLevel="0" collapsed="false">
      <c r="A28" s="1" t="s">
        <v>100</v>
      </c>
      <c r="B28" s="16" t="n">
        <v>45332</v>
      </c>
      <c r="C28" s="1" t="s">
        <v>73</v>
      </c>
      <c r="D28" s="1" t="s">
        <v>21</v>
      </c>
      <c r="E28" s="1" t="s">
        <v>38</v>
      </c>
      <c r="F28" s="1" t="s">
        <v>16</v>
      </c>
      <c r="G28" s="1" t="n">
        <v>18</v>
      </c>
      <c r="H28" s="17" t="n">
        <v>1148.07</v>
      </c>
      <c r="I28" s="18" t="n">
        <v>0.19</v>
      </c>
      <c r="J28" s="17" t="n">
        <f aca="false">G28*H28*(1-I28)</f>
        <v>16738.8606</v>
      </c>
      <c r="K28" s="18" t="n">
        <v>0.3</v>
      </c>
    </row>
    <row r="29" customFormat="false" ht="15" hidden="false" customHeight="true" outlineLevel="0" collapsed="false">
      <c r="A29" s="1" t="s">
        <v>101</v>
      </c>
      <c r="B29" s="16" t="n">
        <v>45577</v>
      </c>
      <c r="C29" s="1" t="s">
        <v>64</v>
      </c>
      <c r="D29" s="1" t="s">
        <v>15</v>
      </c>
      <c r="E29" s="1" t="s">
        <v>50</v>
      </c>
      <c r="F29" s="1" t="s">
        <v>22</v>
      </c>
      <c r="G29" s="1" t="n">
        <v>16</v>
      </c>
      <c r="H29" s="17" t="n">
        <v>665.65</v>
      </c>
      <c r="I29" s="18" t="n">
        <v>0.02</v>
      </c>
      <c r="J29" s="17" t="n">
        <f aca="false">G29*H29*(1-I29)</f>
        <v>10437.392</v>
      </c>
      <c r="K29" s="18" t="n">
        <v>0.24</v>
      </c>
    </row>
    <row r="30" customFormat="false" ht="15" hidden="false" customHeight="true" outlineLevel="0" collapsed="false">
      <c r="A30" s="1" t="s">
        <v>102</v>
      </c>
      <c r="B30" s="16" t="n">
        <v>45407</v>
      </c>
      <c r="C30" s="1" t="s">
        <v>64</v>
      </c>
      <c r="D30" s="1" t="s">
        <v>13</v>
      </c>
      <c r="E30" s="1" t="s">
        <v>42</v>
      </c>
      <c r="F30" s="1" t="s">
        <v>14</v>
      </c>
      <c r="G30" s="1" t="n">
        <v>15</v>
      </c>
      <c r="H30" s="17" t="n">
        <v>976.05</v>
      </c>
      <c r="I30" s="18" t="n">
        <v>0.19</v>
      </c>
      <c r="J30" s="17" t="n">
        <f aca="false">G30*H30*(1-I30)</f>
        <v>11859.0075</v>
      </c>
      <c r="K30" s="18" t="n">
        <v>0.43</v>
      </c>
    </row>
    <row r="31" customFormat="false" ht="15" hidden="false" customHeight="true" outlineLevel="0" collapsed="false">
      <c r="A31" s="1" t="s">
        <v>103</v>
      </c>
      <c r="B31" s="16" t="n">
        <v>45611</v>
      </c>
      <c r="C31" s="1" t="s">
        <v>64</v>
      </c>
      <c r="D31" s="1" t="s">
        <v>19</v>
      </c>
      <c r="E31" s="1" t="s">
        <v>40</v>
      </c>
      <c r="F31" s="1" t="s">
        <v>16</v>
      </c>
      <c r="G31" s="1" t="n">
        <v>6</v>
      </c>
      <c r="H31" s="17" t="n">
        <v>917.46</v>
      </c>
      <c r="I31" s="18" t="n">
        <v>0.05</v>
      </c>
      <c r="J31" s="17" t="n">
        <f aca="false">G31*H31*(1-I31)</f>
        <v>5229.522</v>
      </c>
      <c r="K31" s="18" t="n">
        <v>0.4</v>
      </c>
    </row>
    <row r="32" customFormat="false" ht="15" hidden="false" customHeight="true" outlineLevel="0" collapsed="false">
      <c r="A32" s="1" t="s">
        <v>104</v>
      </c>
      <c r="B32" s="16" t="n">
        <v>45323</v>
      </c>
      <c r="C32" s="1" t="s">
        <v>77</v>
      </c>
      <c r="D32" s="1" t="s">
        <v>21</v>
      </c>
      <c r="E32" s="1" t="s">
        <v>32</v>
      </c>
      <c r="F32" s="1" t="s">
        <v>20</v>
      </c>
      <c r="G32" s="1" t="n">
        <v>15</v>
      </c>
      <c r="H32" s="17" t="n">
        <v>1901.53</v>
      </c>
      <c r="I32" s="18" t="n">
        <v>0.23</v>
      </c>
      <c r="J32" s="17" t="n">
        <f aca="false">G32*H32*(1-I32)</f>
        <v>21962.6715</v>
      </c>
      <c r="K32" s="18" t="n">
        <v>0.37</v>
      </c>
    </row>
    <row r="33" customFormat="false" ht="15" hidden="false" customHeight="true" outlineLevel="0" collapsed="false">
      <c r="A33" s="1" t="s">
        <v>105</v>
      </c>
      <c r="B33" s="16" t="n">
        <v>45445</v>
      </c>
      <c r="C33" s="1" t="s">
        <v>85</v>
      </c>
      <c r="D33" s="1" t="s">
        <v>19</v>
      </c>
      <c r="E33" s="1" t="s">
        <v>44</v>
      </c>
      <c r="F33" s="1" t="s">
        <v>22</v>
      </c>
      <c r="G33" s="1" t="n">
        <v>10</v>
      </c>
      <c r="H33" s="17" t="n">
        <v>2261.24</v>
      </c>
      <c r="I33" s="18" t="n">
        <v>0.08</v>
      </c>
      <c r="J33" s="17" t="n">
        <f aca="false">G33*H33*(1-I33)</f>
        <v>20803.408</v>
      </c>
      <c r="K33" s="18" t="n">
        <v>0.3</v>
      </c>
    </row>
    <row r="34" customFormat="false" ht="15" hidden="false" customHeight="true" outlineLevel="0" collapsed="false">
      <c r="A34" s="1" t="s">
        <v>106</v>
      </c>
      <c r="B34" s="16" t="n">
        <v>45516</v>
      </c>
      <c r="C34" s="1" t="s">
        <v>95</v>
      </c>
      <c r="D34" s="1" t="s">
        <v>21</v>
      </c>
      <c r="E34" s="1" t="s">
        <v>38</v>
      </c>
      <c r="F34" s="1" t="s">
        <v>20</v>
      </c>
      <c r="G34" s="1" t="n">
        <v>7</v>
      </c>
      <c r="H34" s="17" t="n">
        <v>162.86</v>
      </c>
      <c r="I34" s="18" t="n">
        <v>0.13</v>
      </c>
      <c r="J34" s="17" t="n">
        <f aca="false">G34*H34*(1-I34)</f>
        <v>991.8174</v>
      </c>
      <c r="K34" s="18" t="n">
        <v>0.21</v>
      </c>
    </row>
    <row r="35" customFormat="false" ht="15" hidden="false" customHeight="true" outlineLevel="0" collapsed="false">
      <c r="A35" s="1" t="s">
        <v>107</v>
      </c>
      <c r="B35" s="16" t="n">
        <v>45638</v>
      </c>
      <c r="C35" s="1" t="s">
        <v>64</v>
      </c>
      <c r="D35" s="1" t="s">
        <v>15</v>
      </c>
      <c r="E35" s="1" t="s">
        <v>34</v>
      </c>
      <c r="F35" s="1" t="s">
        <v>14</v>
      </c>
      <c r="G35" s="1" t="n">
        <v>20</v>
      </c>
      <c r="H35" s="17" t="n">
        <v>1548.83</v>
      </c>
      <c r="I35" s="18" t="n">
        <v>0.19</v>
      </c>
      <c r="J35" s="17" t="n">
        <f aca="false">G35*H35*(1-I35)</f>
        <v>25091.046</v>
      </c>
      <c r="K35" s="18" t="n">
        <v>0.23</v>
      </c>
    </row>
    <row r="36" customFormat="false" ht="15" hidden="false" customHeight="true" outlineLevel="0" collapsed="false">
      <c r="A36" s="1" t="s">
        <v>108</v>
      </c>
      <c r="B36" s="16" t="n">
        <v>45532</v>
      </c>
      <c r="C36" s="1" t="s">
        <v>93</v>
      </c>
      <c r="D36" s="1" t="s">
        <v>17</v>
      </c>
      <c r="E36" s="1" t="s">
        <v>36</v>
      </c>
      <c r="F36" s="1" t="s">
        <v>16</v>
      </c>
      <c r="G36" s="1" t="n">
        <v>14</v>
      </c>
      <c r="H36" s="17" t="n">
        <v>1751.5</v>
      </c>
      <c r="I36" s="18" t="n">
        <v>0.2</v>
      </c>
      <c r="J36" s="17" t="n">
        <f aca="false">G36*H36*(1-I36)</f>
        <v>19616.8</v>
      </c>
      <c r="K36" s="18" t="n">
        <v>0.28</v>
      </c>
    </row>
    <row r="37" customFormat="false" ht="15" hidden="false" customHeight="true" outlineLevel="0" collapsed="false">
      <c r="A37" s="1" t="s">
        <v>109</v>
      </c>
      <c r="B37" s="16" t="n">
        <v>45419</v>
      </c>
      <c r="C37" s="1" t="s">
        <v>95</v>
      </c>
      <c r="D37" s="1" t="s">
        <v>17</v>
      </c>
      <c r="E37" s="1" t="s">
        <v>50</v>
      </c>
      <c r="F37" s="1" t="s">
        <v>16</v>
      </c>
      <c r="G37" s="1" t="n">
        <v>15</v>
      </c>
      <c r="H37" s="17" t="n">
        <v>1105.17</v>
      </c>
      <c r="I37" s="18" t="n">
        <v>0.11</v>
      </c>
      <c r="J37" s="17" t="n">
        <f aca="false">G37*H37*(1-I37)</f>
        <v>14754.0195</v>
      </c>
      <c r="K37" s="18" t="n">
        <v>0.42</v>
      </c>
    </row>
    <row r="38" customFormat="false" ht="15" hidden="false" customHeight="true" outlineLevel="0" collapsed="false">
      <c r="A38" s="1" t="s">
        <v>110</v>
      </c>
      <c r="B38" s="16" t="n">
        <v>45411</v>
      </c>
      <c r="C38" s="1" t="s">
        <v>85</v>
      </c>
      <c r="D38" s="1" t="s">
        <v>19</v>
      </c>
      <c r="E38" s="1" t="s">
        <v>40</v>
      </c>
      <c r="F38" s="1" t="s">
        <v>18</v>
      </c>
      <c r="G38" s="1" t="n">
        <v>11</v>
      </c>
      <c r="H38" s="17" t="n">
        <v>1847.12</v>
      </c>
      <c r="I38" s="18" t="n">
        <v>0.04</v>
      </c>
      <c r="J38" s="17" t="n">
        <f aca="false">G38*H38*(1-I38)</f>
        <v>19505.5872</v>
      </c>
      <c r="K38" s="18" t="n">
        <v>0.28</v>
      </c>
    </row>
    <row r="39" customFormat="false" ht="15" hidden="false" customHeight="true" outlineLevel="0" collapsed="false">
      <c r="A39" s="1" t="s">
        <v>111</v>
      </c>
      <c r="B39" s="16" t="n">
        <v>45520</v>
      </c>
      <c r="C39" s="1" t="s">
        <v>71</v>
      </c>
      <c r="D39" s="1" t="s">
        <v>17</v>
      </c>
      <c r="E39" s="1" t="s">
        <v>36</v>
      </c>
      <c r="F39" s="1" t="s">
        <v>18</v>
      </c>
      <c r="G39" s="1" t="n">
        <v>7</v>
      </c>
      <c r="H39" s="17" t="n">
        <v>798.6</v>
      </c>
      <c r="I39" s="18" t="n">
        <v>0.05</v>
      </c>
      <c r="J39" s="17" t="n">
        <f aca="false">G39*H39*(1-I39)</f>
        <v>5310.69</v>
      </c>
      <c r="K39" s="18" t="n">
        <v>0.32</v>
      </c>
    </row>
    <row r="40" customFormat="false" ht="15" hidden="false" customHeight="true" outlineLevel="0" collapsed="false">
      <c r="A40" s="1" t="s">
        <v>112</v>
      </c>
      <c r="B40" s="16" t="n">
        <v>45340</v>
      </c>
      <c r="C40" s="1" t="s">
        <v>85</v>
      </c>
      <c r="D40" s="1" t="s">
        <v>21</v>
      </c>
      <c r="E40" s="1" t="s">
        <v>48</v>
      </c>
      <c r="F40" s="1" t="s">
        <v>18</v>
      </c>
      <c r="G40" s="1" t="n">
        <v>2</v>
      </c>
      <c r="H40" s="17" t="n">
        <v>1801.84</v>
      </c>
      <c r="I40" s="18" t="n">
        <v>0.08</v>
      </c>
      <c r="J40" s="17" t="n">
        <f aca="false">G40*H40*(1-I40)</f>
        <v>3315.3856</v>
      </c>
      <c r="K40" s="18" t="n">
        <v>0.23</v>
      </c>
    </row>
    <row r="41" customFormat="false" ht="15" hidden="false" customHeight="true" outlineLevel="0" collapsed="false">
      <c r="A41" s="1" t="s">
        <v>113</v>
      </c>
      <c r="B41" s="16" t="n">
        <v>45553</v>
      </c>
      <c r="C41" s="1" t="s">
        <v>71</v>
      </c>
      <c r="D41" s="1" t="s">
        <v>21</v>
      </c>
      <c r="E41" s="1" t="s">
        <v>36</v>
      </c>
      <c r="F41" s="1" t="s">
        <v>18</v>
      </c>
      <c r="G41" s="1" t="n">
        <v>1</v>
      </c>
      <c r="H41" s="17" t="n">
        <v>1368.07</v>
      </c>
      <c r="I41" s="18" t="n">
        <v>0.14</v>
      </c>
      <c r="J41" s="17" t="n">
        <f aca="false">G41*H41*(1-I41)</f>
        <v>1176.5402</v>
      </c>
      <c r="K41" s="18" t="n">
        <v>0.25</v>
      </c>
    </row>
    <row r="42" customFormat="false" ht="15" hidden="false" customHeight="true" outlineLevel="0" collapsed="false">
      <c r="A42" s="1" t="s">
        <v>114</v>
      </c>
      <c r="B42" s="16" t="n">
        <v>45627</v>
      </c>
      <c r="C42" s="1" t="s">
        <v>66</v>
      </c>
      <c r="D42" s="1" t="s">
        <v>13</v>
      </c>
      <c r="E42" s="1" t="s">
        <v>36</v>
      </c>
      <c r="F42" s="1" t="s">
        <v>20</v>
      </c>
      <c r="G42" s="1" t="n">
        <v>2</v>
      </c>
      <c r="H42" s="17" t="n">
        <v>595.78</v>
      </c>
      <c r="I42" s="18" t="n">
        <v>0.05</v>
      </c>
      <c r="J42" s="17" t="n">
        <f aca="false">G42*H42*(1-I42)</f>
        <v>1131.982</v>
      </c>
      <c r="K42" s="18" t="n">
        <v>0.23</v>
      </c>
    </row>
    <row r="43" customFormat="false" ht="15" hidden="false" customHeight="true" outlineLevel="0" collapsed="false">
      <c r="A43" s="1" t="s">
        <v>115</v>
      </c>
      <c r="B43" s="16" t="n">
        <v>45430</v>
      </c>
      <c r="C43" s="1" t="s">
        <v>71</v>
      </c>
      <c r="D43" s="1" t="s">
        <v>17</v>
      </c>
      <c r="E43" s="1" t="s">
        <v>40</v>
      </c>
      <c r="F43" s="1" t="s">
        <v>20</v>
      </c>
      <c r="G43" s="1" t="n">
        <v>9</v>
      </c>
      <c r="H43" s="17" t="n">
        <v>617.9</v>
      </c>
      <c r="I43" s="18" t="n">
        <v>0.07</v>
      </c>
      <c r="J43" s="17" t="n">
        <f aca="false">G43*H43*(1-I43)</f>
        <v>5171.823</v>
      </c>
      <c r="K43" s="18" t="n">
        <v>0.39</v>
      </c>
    </row>
    <row r="44" customFormat="false" ht="15" hidden="false" customHeight="true" outlineLevel="0" collapsed="false">
      <c r="A44" s="1" t="s">
        <v>116</v>
      </c>
      <c r="B44" s="16" t="n">
        <v>45395</v>
      </c>
      <c r="C44" s="1" t="s">
        <v>117</v>
      </c>
      <c r="D44" s="1" t="s">
        <v>19</v>
      </c>
      <c r="E44" s="1" t="s">
        <v>46</v>
      </c>
      <c r="F44" s="1" t="s">
        <v>16</v>
      </c>
      <c r="G44" s="1" t="n">
        <v>20</v>
      </c>
      <c r="H44" s="17" t="n">
        <v>70.31</v>
      </c>
      <c r="I44" s="18" t="n">
        <v>0.19</v>
      </c>
      <c r="J44" s="17" t="n">
        <f aca="false">G44*H44*(1-I44)</f>
        <v>1139.022</v>
      </c>
      <c r="K44" s="18" t="n">
        <v>0.43</v>
      </c>
    </row>
    <row r="45" customFormat="false" ht="15" hidden="false" customHeight="true" outlineLevel="0" collapsed="false">
      <c r="A45" s="1" t="s">
        <v>118</v>
      </c>
      <c r="B45" s="16" t="n">
        <v>45559</v>
      </c>
      <c r="C45" s="1" t="s">
        <v>117</v>
      </c>
      <c r="D45" s="1" t="s">
        <v>17</v>
      </c>
      <c r="E45" s="1" t="s">
        <v>38</v>
      </c>
      <c r="F45" s="1" t="s">
        <v>18</v>
      </c>
      <c r="G45" s="1" t="n">
        <v>19</v>
      </c>
      <c r="H45" s="17" t="n">
        <v>289.28</v>
      </c>
      <c r="I45" s="18" t="n">
        <v>0.21</v>
      </c>
      <c r="J45" s="17" t="n">
        <f aca="false">G45*H45*(1-I45)</f>
        <v>4342.0928</v>
      </c>
      <c r="K45" s="18" t="n">
        <v>0.22</v>
      </c>
    </row>
    <row r="46" customFormat="false" ht="15" hidden="false" customHeight="true" outlineLevel="0" collapsed="false">
      <c r="A46" s="1" t="s">
        <v>119</v>
      </c>
      <c r="B46" s="16" t="n">
        <v>45593</v>
      </c>
      <c r="C46" s="1" t="s">
        <v>71</v>
      </c>
      <c r="D46" s="1" t="s">
        <v>21</v>
      </c>
      <c r="E46" s="1" t="s">
        <v>36</v>
      </c>
      <c r="F46" s="1" t="s">
        <v>18</v>
      </c>
      <c r="G46" s="1" t="n">
        <v>9</v>
      </c>
      <c r="H46" s="17" t="n">
        <v>2130.34</v>
      </c>
      <c r="I46" s="18" t="n">
        <v>0.23</v>
      </c>
      <c r="J46" s="17" t="n">
        <f aca="false">G46*H46*(1-I46)</f>
        <v>14763.2562</v>
      </c>
      <c r="K46" s="18" t="n">
        <v>0.41</v>
      </c>
    </row>
    <row r="47" customFormat="false" ht="15" hidden="false" customHeight="true" outlineLevel="0" collapsed="false">
      <c r="A47" s="1" t="s">
        <v>120</v>
      </c>
      <c r="B47" s="16" t="n">
        <v>45657</v>
      </c>
      <c r="C47" s="1" t="s">
        <v>69</v>
      </c>
      <c r="D47" s="1" t="s">
        <v>21</v>
      </c>
      <c r="E47" s="1" t="s">
        <v>36</v>
      </c>
      <c r="F47" s="1" t="s">
        <v>18</v>
      </c>
      <c r="G47" s="1" t="n">
        <v>6</v>
      </c>
      <c r="H47" s="17" t="n">
        <v>1621.43</v>
      </c>
      <c r="I47" s="18" t="n">
        <v>0.24</v>
      </c>
      <c r="J47" s="17" t="n">
        <f aca="false">G47*H47*(1-I47)</f>
        <v>7393.7208</v>
      </c>
      <c r="K47" s="18" t="n">
        <v>0.34</v>
      </c>
    </row>
    <row r="48" customFormat="false" ht="15" hidden="false" customHeight="true" outlineLevel="0" collapsed="false">
      <c r="A48" s="1" t="s">
        <v>121</v>
      </c>
      <c r="B48" s="16" t="n">
        <v>45410</v>
      </c>
      <c r="C48" s="1" t="s">
        <v>73</v>
      </c>
      <c r="D48" s="1" t="s">
        <v>13</v>
      </c>
      <c r="E48" s="1" t="s">
        <v>38</v>
      </c>
      <c r="F48" s="1" t="s">
        <v>22</v>
      </c>
      <c r="G48" s="1" t="n">
        <v>6</v>
      </c>
      <c r="H48" s="17" t="n">
        <v>891.03</v>
      </c>
      <c r="I48" s="18" t="n">
        <v>0.05</v>
      </c>
      <c r="J48" s="17" t="n">
        <f aca="false">G48*H48*(1-I48)</f>
        <v>5078.871</v>
      </c>
      <c r="K48" s="18" t="n">
        <v>0.27</v>
      </c>
    </row>
    <row r="49" customFormat="false" ht="15" hidden="false" customHeight="true" outlineLevel="0" collapsed="false">
      <c r="A49" s="1" t="s">
        <v>122</v>
      </c>
      <c r="B49" s="16" t="n">
        <v>45557</v>
      </c>
      <c r="C49" s="1" t="s">
        <v>93</v>
      </c>
      <c r="D49" s="1" t="s">
        <v>15</v>
      </c>
      <c r="E49" s="1" t="s">
        <v>46</v>
      </c>
      <c r="F49" s="1" t="s">
        <v>18</v>
      </c>
      <c r="G49" s="1" t="n">
        <v>20</v>
      </c>
      <c r="H49" s="17" t="n">
        <v>231</v>
      </c>
      <c r="I49" s="18" t="n">
        <v>0.28</v>
      </c>
      <c r="J49" s="17" t="n">
        <f aca="false">G49*H49*(1-I49)</f>
        <v>3326.4</v>
      </c>
      <c r="K49" s="18" t="n">
        <v>0.26</v>
      </c>
    </row>
    <row r="50" customFormat="false" ht="15" hidden="false" customHeight="true" outlineLevel="0" collapsed="false">
      <c r="A50" s="1" t="s">
        <v>123</v>
      </c>
      <c r="B50" s="16" t="n">
        <v>45308</v>
      </c>
      <c r="C50" s="1" t="s">
        <v>93</v>
      </c>
      <c r="D50" s="1" t="s">
        <v>21</v>
      </c>
      <c r="E50" s="1" t="s">
        <v>32</v>
      </c>
      <c r="F50" s="1" t="s">
        <v>18</v>
      </c>
      <c r="G50" s="1" t="n">
        <v>12</v>
      </c>
      <c r="H50" s="17" t="n">
        <v>2175.14</v>
      </c>
      <c r="I50" s="18" t="n">
        <v>0.06</v>
      </c>
      <c r="J50" s="17" t="n">
        <f aca="false">G50*H50*(1-I50)</f>
        <v>24535.5792</v>
      </c>
      <c r="K50" s="18" t="n">
        <v>0.21</v>
      </c>
    </row>
    <row r="51" customFormat="false" ht="15" hidden="false" customHeight="true" outlineLevel="0" collapsed="false">
      <c r="A51" s="1" t="s">
        <v>124</v>
      </c>
      <c r="B51" s="16" t="n">
        <v>45341</v>
      </c>
      <c r="C51" s="1" t="s">
        <v>85</v>
      </c>
      <c r="D51" s="1" t="s">
        <v>17</v>
      </c>
      <c r="E51" s="1" t="s">
        <v>44</v>
      </c>
      <c r="F51" s="1" t="s">
        <v>16</v>
      </c>
      <c r="G51" s="1" t="n">
        <v>16</v>
      </c>
      <c r="H51" s="17" t="n">
        <v>1329.57</v>
      </c>
      <c r="I51" s="18" t="n">
        <v>0.05</v>
      </c>
      <c r="J51" s="17" t="n">
        <f aca="false">G51*H51*(1-I51)</f>
        <v>20209.464</v>
      </c>
      <c r="K51" s="18" t="n">
        <v>0.38</v>
      </c>
    </row>
    <row r="52" customFormat="false" ht="15" hidden="false" customHeight="true" outlineLevel="0" collapsed="false">
      <c r="A52" s="1" t="s">
        <v>125</v>
      </c>
      <c r="B52" s="16" t="n">
        <v>45339</v>
      </c>
      <c r="C52" s="1" t="s">
        <v>71</v>
      </c>
      <c r="D52" s="1" t="s">
        <v>17</v>
      </c>
      <c r="E52" s="1" t="s">
        <v>32</v>
      </c>
      <c r="F52" s="1" t="s">
        <v>14</v>
      </c>
      <c r="G52" s="1" t="n">
        <v>2</v>
      </c>
      <c r="H52" s="17" t="n">
        <v>75.34</v>
      </c>
      <c r="I52" s="18" t="n">
        <v>0.07</v>
      </c>
      <c r="J52" s="17" t="n">
        <f aca="false">G52*H52*(1-I52)</f>
        <v>140.1324</v>
      </c>
      <c r="K52" s="18" t="n">
        <v>0.22</v>
      </c>
    </row>
    <row r="53" customFormat="false" ht="15" hidden="false" customHeight="true" outlineLevel="0" collapsed="false">
      <c r="A53" s="1" t="s">
        <v>126</v>
      </c>
      <c r="B53" s="16" t="n">
        <v>45586</v>
      </c>
      <c r="C53" s="1" t="s">
        <v>88</v>
      </c>
      <c r="D53" s="1" t="s">
        <v>15</v>
      </c>
      <c r="E53" s="1" t="s">
        <v>44</v>
      </c>
      <c r="F53" s="1" t="s">
        <v>20</v>
      </c>
      <c r="G53" s="1" t="n">
        <v>11</v>
      </c>
      <c r="H53" s="17" t="n">
        <v>28.4</v>
      </c>
      <c r="I53" s="18" t="n">
        <v>0.19</v>
      </c>
      <c r="J53" s="17" t="n">
        <f aca="false">G53*H53*(1-I53)</f>
        <v>253.044</v>
      </c>
      <c r="K53" s="18" t="n">
        <v>0.16</v>
      </c>
    </row>
    <row r="54" customFormat="false" ht="15" hidden="false" customHeight="true" outlineLevel="0" collapsed="false">
      <c r="A54" s="1" t="s">
        <v>127</v>
      </c>
      <c r="B54" s="16" t="n">
        <v>45475</v>
      </c>
      <c r="C54" s="1" t="s">
        <v>69</v>
      </c>
      <c r="D54" s="1" t="s">
        <v>21</v>
      </c>
      <c r="E54" s="1" t="s">
        <v>48</v>
      </c>
      <c r="F54" s="1" t="s">
        <v>22</v>
      </c>
      <c r="G54" s="1" t="n">
        <v>17</v>
      </c>
      <c r="H54" s="17" t="n">
        <v>522.41</v>
      </c>
      <c r="I54" s="18" t="n">
        <v>0.12</v>
      </c>
      <c r="J54" s="17" t="n">
        <f aca="false">G54*H54*(1-I54)</f>
        <v>7815.2536</v>
      </c>
      <c r="K54" s="18" t="n">
        <v>0.41</v>
      </c>
    </row>
    <row r="55" customFormat="false" ht="15" hidden="false" customHeight="true" outlineLevel="0" collapsed="false">
      <c r="A55" s="1" t="s">
        <v>128</v>
      </c>
      <c r="B55" s="16" t="n">
        <v>45380</v>
      </c>
      <c r="C55" s="1" t="s">
        <v>81</v>
      </c>
      <c r="D55" s="1" t="s">
        <v>13</v>
      </c>
      <c r="E55" s="1" t="s">
        <v>36</v>
      </c>
      <c r="F55" s="1" t="s">
        <v>14</v>
      </c>
      <c r="G55" s="1" t="n">
        <v>5</v>
      </c>
      <c r="H55" s="17" t="n">
        <v>105.13</v>
      </c>
      <c r="I55" s="18" t="n">
        <v>0.26</v>
      </c>
      <c r="J55" s="17" t="n">
        <f aca="false">G55*H55*(1-I55)</f>
        <v>388.981</v>
      </c>
      <c r="K55" s="18" t="n">
        <v>0.29</v>
      </c>
    </row>
    <row r="56" customFormat="false" ht="15" hidden="false" customHeight="true" outlineLevel="0" collapsed="false">
      <c r="A56" s="1" t="s">
        <v>129</v>
      </c>
      <c r="B56" s="16" t="n">
        <v>45507</v>
      </c>
      <c r="C56" s="1" t="s">
        <v>71</v>
      </c>
      <c r="D56" s="1" t="s">
        <v>15</v>
      </c>
      <c r="E56" s="1" t="s">
        <v>32</v>
      </c>
      <c r="F56" s="1" t="s">
        <v>14</v>
      </c>
      <c r="G56" s="1" t="n">
        <v>12</v>
      </c>
      <c r="H56" s="17" t="n">
        <v>2476.59</v>
      </c>
      <c r="I56" s="18" t="n">
        <v>0.24</v>
      </c>
      <c r="J56" s="17" t="n">
        <f aca="false">G56*H56*(1-I56)</f>
        <v>22586.5008</v>
      </c>
      <c r="K56" s="18" t="n">
        <v>0.33</v>
      </c>
    </row>
    <row r="57" customFormat="false" ht="15" hidden="false" customHeight="true" outlineLevel="0" collapsed="false">
      <c r="A57" s="1" t="s">
        <v>130</v>
      </c>
      <c r="B57" s="16" t="n">
        <v>45372</v>
      </c>
      <c r="C57" s="1" t="s">
        <v>71</v>
      </c>
      <c r="D57" s="1" t="s">
        <v>17</v>
      </c>
      <c r="E57" s="1" t="s">
        <v>36</v>
      </c>
      <c r="F57" s="1" t="s">
        <v>14</v>
      </c>
      <c r="G57" s="1" t="n">
        <v>1</v>
      </c>
      <c r="H57" s="17" t="n">
        <v>700.45</v>
      </c>
      <c r="I57" s="18" t="n">
        <v>0.19</v>
      </c>
      <c r="J57" s="17" t="n">
        <f aca="false">G57*H57*(1-I57)</f>
        <v>567.3645</v>
      </c>
      <c r="K57" s="18" t="n">
        <v>0.41</v>
      </c>
    </row>
    <row r="58" customFormat="false" ht="15" hidden="false" customHeight="true" outlineLevel="0" collapsed="false">
      <c r="A58" s="1" t="s">
        <v>131</v>
      </c>
      <c r="B58" s="16" t="n">
        <v>45477</v>
      </c>
      <c r="C58" s="1" t="s">
        <v>81</v>
      </c>
      <c r="D58" s="1" t="s">
        <v>13</v>
      </c>
      <c r="E58" s="1" t="s">
        <v>34</v>
      </c>
      <c r="F58" s="1" t="s">
        <v>18</v>
      </c>
      <c r="G58" s="1" t="n">
        <v>5</v>
      </c>
      <c r="H58" s="17" t="n">
        <v>940.64</v>
      </c>
      <c r="I58" s="18" t="n">
        <v>0.14</v>
      </c>
      <c r="J58" s="17" t="n">
        <f aca="false">G58*H58*(1-I58)</f>
        <v>4044.752</v>
      </c>
      <c r="K58" s="18" t="n">
        <v>0.29</v>
      </c>
    </row>
    <row r="59" customFormat="false" ht="15" hidden="false" customHeight="true" outlineLevel="0" collapsed="false">
      <c r="A59" s="1" t="s">
        <v>132</v>
      </c>
      <c r="B59" s="16" t="n">
        <v>45379</v>
      </c>
      <c r="C59" s="1" t="s">
        <v>71</v>
      </c>
      <c r="D59" s="1" t="s">
        <v>15</v>
      </c>
      <c r="E59" s="1" t="s">
        <v>38</v>
      </c>
      <c r="F59" s="1" t="s">
        <v>18</v>
      </c>
      <c r="G59" s="1" t="n">
        <v>15</v>
      </c>
      <c r="H59" s="17" t="n">
        <v>1094.56</v>
      </c>
      <c r="I59" s="18" t="n">
        <v>0.2</v>
      </c>
      <c r="J59" s="17" t="n">
        <f aca="false">G59*H59*(1-I59)</f>
        <v>13134.72</v>
      </c>
      <c r="K59" s="18" t="n">
        <v>0.29</v>
      </c>
    </row>
    <row r="60" customFormat="false" ht="15" hidden="false" customHeight="true" outlineLevel="0" collapsed="false">
      <c r="A60" s="1" t="s">
        <v>133</v>
      </c>
      <c r="B60" s="16" t="n">
        <v>45356</v>
      </c>
      <c r="C60" s="1" t="s">
        <v>117</v>
      </c>
      <c r="D60" s="1" t="s">
        <v>19</v>
      </c>
      <c r="E60" s="1" t="s">
        <v>42</v>
      </c>
      <c r="F60" s="1" t="s">
        <v>18</v>
      </c>
      <c r="G60" s="1" t="n">
        <v>5</v>
      </c>
      <c r="H60" s="17" t="n">
        <v>1990.53</v>
      </c>
      <c r="I60" s="18" t="n">
        <v>0.27</v>
      </c>
      <c r="J60" s="17" t="n">
        <f aca="false">G60*H60*(1-I60)</f>
        <v>7265.4345</v>
      </c>
      <c r="K60" s="18" t="n">
        <v>0.16</v>
      </c>
    </row>
    <row r="61" customFormat="false" ht="15" hidden="false" customHeight="true" outlineLevel="0" collapsed="false">
      <c r="A61" s="1" t="s">
        <v>134</v>
      </c>
      <c r="B61" s="16" t="n">
        <v>45478</v>
      </c>
      <c r="C61" s="1" t="s">
        <v>93</v>
      </c>
      <c r="D61" s="1" t="s">
        <v>15</v>
      </c>
      <c r="E61" s="1" t="s">
        <v>34</v>
      </c>
      <c r="F61" s="1" t="s">
        <v>14</v>
      </c>
      <c r="G61" s="1" t="n">
        <v>5</v>
      </c>
      <c r="H61" s="17" t="n">
        <v>97.62</v>
      </c>
      <c r="I61" s="18" t="n">
        <v>0.09</v>
      </c>
      <c r="J61" s="17" t="n">
        <f aca="false">G61*H61*(1-I61)</f>
        <v>444.171</v>
      </c>
      <c r="K61" s="18" t="n">
        <v>0.43</v>
      </c>
    </row>
    <row r="62" customFormat="false" ht="15" hidden="false" customHeight="true" outlineLevel="0" collapsed="false">
      <c r="A62" s="1" t="s">
        <v>135</v>
      </c>
      <c r="B62" s="16" t="n">
        <v>45497</v>
      </c>
      <c r="C62" s="1" t="s">
        <v>95</v>
      </c>
      <c r="D62" s="1" t="s">
        <v>13</v>
      </c>
      <c r="E62" s="1" t="s">
        <v>38</v>
      </c>
      <c r="F62" s="1" t="s">
        <v>22</v>
      </c>
      <c r="G62" s="1" t="n">
        <v>16</v>
      </c>
      <c r="H62" s="17" t="n">
        <v>1596.05</v>
      </c>
      <c r="I62" s="18" t="n">
        <v>0.16</v>
      </c>
      <c r="J62" s="17" t="n">
        <f aca="false">G62*H62*(1-I62)</f>
        <v>21450.912</v>
      </c>
      <c r="K62" s="18" t="n">
        <v>0.33</v>
      </c>
    </row>
    <row r="63" customFormat="false" ht="15" hidden="false" customHeight="true" outlineLevel="0" collapsed="false">
      <c r="A63" s="1" t="s">
        <v>136</v>
      </c>
      <c r="B63" s="16" t="n">
        <v>45473</v>
      </c>
      <c r="C63" s="1" t="s">
        <v>77</v>
      </c>
      <c r="D63" s="1" t="s">
        <v>19</v>
      </c>
      <c r="E63" s="1" t="s">
        <v>42</v>
      </c>
      <c r="F63" s="1" t="s">
        <v>16</v>
      </c>
      <c r="G63" s="1" t="n">
        <v>20</v>
      </c>
      <c r="H63" s="17" t="n">
        <v>2111.6</v>
      </c>
      <c r="I63" s="18" t="n">
        <v>0.27</v>
      </c>
      <c r="J63" s="17" t="n">
        <f aca="false">G63*H63*(1-I63)</f>
        <v>30829.36</v>
      </c>
      <c r="K63" s="18" t="n">
        <v>0.44</v>
      </c>
    </row>
    <row r="64" customFormat="false" ht="15" hidden="false" customHeight="true" outlineLevel="0" collapsed="false">
      <c r="A64" s="1" t="s">
        <v>137</v>
      </c>
      <c r="B64" s="16" t="n">
        <v>45395</v>
      </c>
      <c r="C64" s="1" t="s">
        <v>93</v>
      </c>
      <c r="D64" s="1" t="s">
        <v>19</v>
      </c>
      <c r="E64" s="1" t="s">
        <v>36</v>
      </c>
      <c r="F64" s="1" t="s">
        <v>14</v>
      </c>
      <c r="G64" s="1" t="n">
        <v>12</v>
      </c>
      <c r="H64" s="17" t="n">
        <v>2036.21</v>
      </c>
      <c r="I64" s="18" t="n">
        <v>0.21</v>
      </c>
      <c r="J64" s="17" t="n">
        <f aca="false">G64*H64*(1-I64)</f>
        <v>19303.2708</v>
      </c>
      <c r="K64" s="18" t="n">
        <v>0.39</v>
      </c>
    </row>
    <row r="65" customFormat="false" ht="15" hidden="false" customHeight="true" outlineLevel="0" collapsed="false">
      <c r="A65" s="1" t="s">
        <v>138</v>
      </c>
      <c r="B65" s="16" t="n">
        <v>45437</v>
      </c>
      <c r="C65" s="1" t="s">
        <v>117</v>
      </c>
      <c r="D65" s="1" t="s">
        <v>21</v>
      </c>
      <c r="E65" s="1" t="s">
        <v>48</v>
      </c>
      <c r="F65" s="1" t="s">
        <v>14</v>
      </c>
      <c r="G65" s="1" t="n">
        <v>7</v>
      </c>
      <c r="H65" s="17" t="n">
        <v>184.32</v>
      </c>
      <c r="I65" s="18" t="n">
        <v>0.21</v>
      </c>
      <c r="J65" s="17" t="n">
        <f aca="false">G65*H65*(1-I65)</f>
        <v>1019.2896</v>
      </c>
      <c r="K65" s="18" t="n">
        <v>0.2</v>
      </c>
    </row>
    <row r="66" customFormat="false" ht="15" hidden="false" customHeight="true" outlineLevel="0" collapsed="false">
      <c r="A66" s="1" t="s">
        <v>139</v>
      </c>
      <c r="B66" s="16" t="n">
        <v>45441</v>
      </c>
      <c r="C66" s="1" t="s">
        <v>117</v>
      </c>
      <c r="D66" s="1" t="s">
        <v>19</v>
      </c>
      <c r="E66" s="1" t="s">
        <v>38</v>
      </c>
      <c r="F66" s="1" t="s">
        <v>16</v>
      </c>
      <c r="G66" s="1" t="n">
        <v>17</v>
      </c>
      <c r="H66" s="17" t="n">
        <v>178.62</v>
      </c>
      <c r="I66" s="18" t="n">
        <v>0.17</v>
      </c>
      <c r="J66" s="17" t="n">
        <f aca="false">G66*H66*(1-I66)</f>
        <v>2520.3282</v>
      </c>
      <c r="K66" s="18" t="n">
        <v>0.38</v>
      </c>
    </row>
    <row r="67" customFormat="false" ht="15" hidden="false" customHeight="true" outlineLevel="0" collapsed="false">
      <c r="A67" s="1" t="s">
        <v>140</v>
      </c>
      <c r="B67" s="16" t="n">
        <v>45596</v>
      </c>
      <c r="C67" s="1" t="s">
        <v>66</v>
      </c>
      <c r="D67" s="1" t="s">
        <v>17</v>
      </c>
      <c r="E67" s="1" t="s">
        <v>32</v>
      </c>
      <c r="F67" s="1" t="s">
        <v>20</v>
      </c>
      <c r="G67" s="1" t="n">
        <v>4</v>
      </c>
      <c r="H67" s="17" t="n">
        <v>208.36</v>
      </c>
      <c r="I67" s="18" t="n">
        <v>0.03</v>
      </c>
      <c r="J67" s="17" t="n">
        <f aca="false">G67*H67*(1-I67)</f>
        <v>808.4368</v>
      </c>
      <c r="K67" s="18" t="n">
        <v>0.26</v>
      </c>
    </row>
    <row r="68" customFormat="false" ht="15" hidden="false" customHeight="true" outlineLevel="0" collapsed="false">
      <c r="A68" s="1" t="s">
        <v>141</v>
      </c>
      <c r="B68" s="16" t="n">
        <v>45593</v>
      </c>
      <c r="C68" s="1" t="s">
        <v>81</v>
      </c>
      <c r="D68" s="1" t="s">
        <v>19</v>
      </c>
      <c r="E68" s="1" t="s">
        <v>34</v>
      </c>
      <c r="F68" s="1" t="s">
        <v>18</v>
      </c>
      <c r="G68" s="1" t="n">
        <v>4</v>
      </c>
      <c r="H68" s="17" t="n">
        <v>1715.07</v>
      </c>
      <c r="I68" s="18" t="n">
        <v>0.14</v>
      </c>
      <c r="J68" s="17" t="n">
        <f aca="false">G68*H68*(1-I68)</f>
        <v>5899.8408</v>
      </c>
      <c r="K68" s="18" t="n">
        <v>0.3</v>
      </c>
    </row>
    <row r="69" customFormat="false" ht="15" hidden="false" customHeight="true" outlineLevel="0" collapsed="false">
      <c r="A69" s="1" t="s">
        <v>142</v>
      </c>
      <c r="B69" s="16" t="n">
        <v>45490</v>
      </c>
      <c r="C69" s="1" t="s">
        <v>117</v>
      </c>
      <c r="D69" s="1" t="s">
        <v>15</v>
      </c>
      <c r="E69" s="1" t="s">
        <v>40</v>
      </c>
      <c r="F69" s="1" t="s">
        <v>22</v>
      </c>
      <c r="G69" s="1" t="n">
        <v>12</v>
      </c>
      <c r="H69" s="17" t="n">
        <v>2034.11</v>
      </c>
      <c r="I69" s="18" t="n">
        <v>0.16</v>
      </c>
      <c r="J69" s="17" t="n">
        <f aca="false">G69*H69*(1-I69)</f>
        <v>20503.8288</v>
      </c>
      <c r="K69" s="18" t="n">
        <v>0.18</v>
      </c>
    </row>
    <row r="70" customFormat="false" ht="15" hidden="false" customHeight="true" outlineLevel="0" collapsed="false">
      <c r="A70" s="1" t="s">
        <v>143</v>
      </c>
      <c r="B70" s="16" t="n">
        <v>45520</v>
      </c>
      <c r="C70" s="1" t="s">
        <v>81</v>
      </c>
      <c r="D70" s="1" t="s">
        <v>19</v>
      </c>
      <c r="E70" s="1" t="s">
        <v>44</v>
      </c>
      <c r="F70" s="1" t="s">
        <v>16</v>
      </c>
      <c r="G70" s="1" t="n">
        <v>6</v>
      </c>
      <c r="H70" s="17" t="n">
        <v>368.51</v>
      </c>
      <c r="I70" s="18" t="n">
        <v>0.12</v>
      </c>
      <c r="J70" s="17" t="n">
        <f aca="false">G70*H70*(1-I70)</f>
        <v>1945.7328</v>
      </c>
      <c r="K70" s="18" t="n">
        <v>0.23</v>
      </c>
    </row>
    <row r="71" customFormat="false" ht="15" hidden="false" customHeight="true" outlineLevel="0" collapsed="false">
      <c r="A71" s="1" t="s">
        <v>144</v>
      </c>
      <c r="B71" s="16" t="n">
        <v>45327</v>
      </c>
      <c r="C71" s="1" t="s">
        <v>64</v>
      </c>
      <c r="D71" s="1" t="s">
        <v>21</v>
      </c>
      <c r="E71" s="1" t="s">
        <v>36</v>
      </c>
      <c r="F71" s="1" t="s">
        <v>16</v>
      </c>
      <c r="G71" s="1" t="n">
        <v>13</v>
      </c>
      <c r="H71" s="17" t="n">
        <v>1132.71</v>
      </c>
      <c r="I71" s="18" t="n">
        <v>0.18</v>
      </c>
      <c r="J71" s="17" t="n">
        <f aca="false">G71*H71*(1-I71)</f>
        <v>12074.6886</v>
      </c>
      <c r="K71" s="18" t="n">
        <v>0.26</v>
      </c>
    </row>
    <row r="72" customFormat="false" ht="15" hidden="false" customHeight="true" outlineLevel="0" collapsed="false">
      <c r="A72" s="1" t="s">
        <v>145</v>
      </c>
      <c r="B72" s="16" t="n">
        <v>45595</v>
      </c>
      <c r="C72" s="1" t="s">
        <v>117</v>
      </c>
      <c r="D72" s="1" t="s">
        <v>15</v>
      </c>
      <c r="E72" s="1" t="s">
        <v>46</v>
      </c>
      <c r="F72" s="1" t="s">
        <v>14</v>
      </c>
      <c r="G72" s="1" t="n">
        <v>4</v>
      </c>
      <c r="H72" s="17" t="n">
        <v>1167.96</v>
      </c>
      <c r="I72" s="18" t="n">
        <v>0.11</v>
      </c>
      <c r="J72" s="17" t="n">
        <f aca="false">G72*H72*(1-I72)</f>
        <v>4157.9376</v>
      </c>
      <c r="K72" s="18" t="n">
        <v>0.4</v>
      </c>
    </row>
    <row r="73" customFormat="false" ht="15" hidden="false" customHeight="true" outlineLevel="0" collapsed="false">
      <c r="A73" s="1" t="s">
        <v>146</v>
      </c>
      <c r="B73" s="16" t="n">
        <v>45316</v>
      </c>
      <c r="C73" s="1" t="s">
        <v>73</v>
      </c>
      <c r="D73" s="1" t="s">
        <v>19</v>
      </c>
      <c r="E73" s="1" t="s">
        <v>44</v>
      </c>
      <c r="F73" s="1" t="s">
        <v>20</v>
      </c>
      <c r="G73" s="1" t="n">
        <v>1</v>
      </c>
      <c r="H73" s="17" t="n">
        <v>494.23</v>
      </c>
      <c r="I73" s="18" t="n">
        <v>0.24</v>
      </c>
      <c r="J73" s="17" t="n">
        <f aca="false">G73*H73*(1-I73)</f>
        <v>375.6148</v>
      </c>
      <c r="K73" s="18" t="n">
        <v>0.37</v>
      </c>
    </row>
    <row r="74" customFormat="false" ht="15" hidden="false" customHeight="true" outlineLevel="0" collapsed="false">
      <c r="A74" s="1" t="s">
        <v>147</v>
      </c>
      <c r="B74" s="16" t="n">
        <v>45315</v>
      </c>
      <c r="C74" s="1" t="s">
        <v>93</v>
      </c>
      <c r="D74" s="1" t="s">
        <v>21</v>
      </c>
      <c r="E74" s="1" t="s">
        <v>46</v>
      </c>
      <c r="F74" s="1" t="s">
        <v>16</v>
      </c>
      <c r="G74" s="1" t="n">
        <v>13</v>
      </c>
      <c r="H74" s="17" t="n">
        <v>697.34</v>
      </c>
      <c r="I74" s="18" t="n">
        <v>0.22</v>
      </c>
      <c r="J74" s="17" t="n">
        <f aca="false">G74*H74*(1-I74)</f>
        <v>7071.0276</v>
      </c>
      <c r="K74" s="18" t="n">
        <v>0.38</v>
      </c>
    </row>
    <row r="75" customFormat="false" ht="15" hidden="false" customHeight="true" outlineLevel="0" collapsed="false">
      <c r="A75" s="1" t="s">
        <v>148</v>
      </c>
      <c r="B75" s="16" t="n">
        <v>45639</v>
      </c>
      <c r="C75" s="1" t="s">
        <v>81</v>
      </c>
      <c r="D75" s="1" t="s">
        <v>13</v>
      </c>
      <c r="E75" s="1" t="s">
        <v>48</v>
      </c>
      <c r="F75" s="1" t="s">
        <v>14</v>
      </c>
      <c r="G75" s="1" t="n">
        <v>6</v>
      </c>
      <c r="H75" s="17" t="n">
        <v>412.91</v>
      </c>
      <c r="I75" s="18" t="n">
        <v>0.09</v>
      </c>
      <c r="J75" s="17" t="n">
        <f aca="false">G75*H75*(1-I75)</f>
        <v>2254.4886</v>
      </c>
      <c r="K75" s="18" t="n">
        <v>0.31</v>
      </c>
    </row>
    <row r="76" customFormat="false" ht="15" hidden="false" customHeight="true" outlineLevel="0" collapsed="false">
      <c r="A76" s="1" t="s">
        <v>149</v>
      </c>
      <c r="B76" s="16" t="n">
        <v>45404</v>
      </c>
      <c r="C76" s="1" t="s">
        <v>64</v>
      </c>
      <c r="D76" s="1" t="s">
        <v>13</v>
      </c>
      <c r="E76" s="1" t="s">
        <v>42</v>
      </c>
      <c r="F76" s="1" t="s">
        <v>20</v>
      </c>
      <c r="G76" s="1" t="n">
        <v>3</v>
      </c>
      <c r="H76" s="17" t="n">
        <v>841.04</v>
      </c>
      <c r="I76" s="18" t="n">
        <v>0.19</v>
      </c>
      <c r="J76" s="17" t="n">
        <f aca="false">G76*H76*(1-I76)</f>
        <v>2043.7272</v>
      </c>
      <c r="K76" s="18" t="n">
        <v>0.23</v>
      </c>
    </row>
    <row r="77" customFormat="false" ht="15" hidden="false" customHeight="true" outlineLevel="0" collapsed="false">
      <c r="A77" s="1" t="s">
        <v>150</v>
      </c>
      <c r="B77" s="16" t="n">
        <v>45543</v>
      </c>
      <c r="C77" s="1" t="s">
        <v>77</v>
      </c>
      <c r="D77" s="1" t="s">
        <v>21</v>
      </c>
      <c r="E77" s="1" t="s">
        <v>36</v>
      </c>
      <c r="F77" s="1" t="s">
        <v>18</v>
      </c>
      <c r="G77" s="1" t="n">
        <v>2</v>
      </c>
      <c r="H77" s="17" t="n">
        <v>2152.73</v>
      </c>
      <c r="I77" s="18" t="n">
        <v>0.27</v>
      </c>
      <c r="J77" s="17" t="n">
        <f aca="false">G77*H77*(1-I77)</f>
        <v>3142.9858</v>
      </c>
      <c r="K77" s="18" t="n">
        <v>0.3</v>
      </c>
    </row>
    <row r="78" customFormat="false" ht="15" hidden="false" customHeight="true" outlineLevel="0" collapsed="false">
      <c r="A78" s="1" t="s">
        <v>151</v>
      </c>
      <c r="B78" s="16" t="n">
        <v>45632</v>
      </c>
      <c r="C78" s="1" t="s">
        <v>73</v>
      </c>
      <c r="D78" s="1" t="s">
        <v>21</v>
      </c>
      <c r="E78" s="1" t="s">
        <v>38</v>
      </c>
      <c r="F78" s="1" t="s">
        <v>14</v>
      </c>
      <c r="G78" s="1" t="n">
        <v>18</v>
      </c>
      <c r="H78" s="17" t="n">
        <v>2075.28</v>
      </c>
      <c r="I78" s="18" t="n">
        <v>0.17</v>
      </c>
      <c r="J78" s="17" t="n">
        <f aca="false">G78*H78*(1-I78)</f>
        <v>31004.6832</v>
      </c>
      <c r="K78" s="18" t="n">
        <v>0.15</v>
      </c>
    </row>
    <row r="79" customFormat="false" ht="15" hidden="false" customHeight="true" outlineLevel="0" collapsed="false">
      <c r="A79" s="1" t="s">
        <v>152</v>
      </c>
      <c r="B79" s="16" t="n">
        <v>45540</v>
      </c>
      <c r="C79" s="1" t="s">
        <v>71</v>
      </c>
      <c r="D79" s="1" t="s">
        <v>17</v>
      </c>
      <c r="E79" s="1" t="s">
        <v>40</v>
      </c>
      <c r="F79" s="1" t="s">
        <v>16</v>
      </c>
      <c r="G79" s="1" t="n">
        <v>13</v>
      </c>
      <c r="H79" s="17" t="n">
        <v>1949.03</v>
      </c>
      <c r="I79" s="18" t="n">
        <v>0.14</v>
      </c>
      <c r="J79" s="17" t="n">
        <f aca="false">G79*H79*(1-I79)</f>
        <v>21790.1554</v>
      </c>
      <c r="K79" s="18" t="n">
        <v>0.21</v>
      </c>
    </row>
    <row r="80" customFormat="false" ht="15" hidden="false" customHeight="true" outlineLevel="0" collapsed="false">
      <c r="A80" s="1" t="s">
        <v>153</v>
      </c>
      <c r="B80" s="16" t="n">
        <v>45343</v>
      </c>
      <c r="C80" s="1" t="s">
        <v>88</v>
      </c>
      <c r="D80" s="1" t="s">
        <v>21</v>
      </c>
      <c r="E80" s="1" t="s">
        <v>36</v>
      </c>
      <c r="F80" s="1" t="s">
        <v>16</v>
      </c>
      <c r="G80" s="1" t="n">
        <v>19</v>
      </c>
      <c r="H80" s="17" t="n">
        <v>2063.43</v>
      </c>
      <c r="I80" s="18" t="n">
        <v>0.07</v>
      </c>
      <c r="J80" s="17" t="n">
        <f aca="false">G80*H80*(1-I80)</f>
        <v>36460.8081</v>
      </c>
      <c r="K80" s="18" t="n">
        <v>0.27</v>
      </c>
    </row>
    <row r="81" customFormat="false" ht="15" hidden="false" customHeight="true" outlineLevel="0" collapsed="false">
      <c r="A81" s="1" t="s">
        <v>154</v>
      </c>
      <c r="B81" s="16" t="n">
        <v>45611</v>
      </c>
      <c r="C81" s="1" t="s">
        <v>73</v>
      </c>
      <c r="D81" s="1" t="s">
        <v>19</v>
      </c>
      <c r="E81" s="1" t="s">
        <v>42</v>
      </c>
      <c r="F81" s="1" t="s">
        <v>16</v>
      </c>
      <c r="G81" s="1" t="n">
        <v>13</v>
      </c>
      <c r="H81" s="17" t="n">
        <v>2392.75</v>
      </c>
      <c r="I81" s="18" t="n">
        <v>0.12</v>
      </c>
      <c r="J81" s="17" t="n">
        <f aca="false">G81*H81*(1-I81)</f>
        <v>27373.06</v>
      </c>
      <c r="K81" s="18" t="n">
        <v>0.2</v>
      </c>
    </row>
    <row r="82" customFormat="false" ht="15" hidden="false" customHeight="true" outlineLevel="0" collapsed="false">
      <c r="A82" s="1" t="s">
        <v>155</v>
      </c>
      <c r="B82" s="16" t="n">
        <v>45349</v>
      </c>
      <c r="C82" s="1" t="s">
        <v>69</v>
      </c>
      <c r="D82" s="1" t="s">
        <v>13</v>
      </c>
      <c r="E82" s="1" t="s">
        <v>46</v>
      </c>
      <c r="F82" s="1" t="s">
        <v>14</v>
      </c>
      <c r="G82" s="1" t="n">
        <v>12</v>
      </c>
      <c r="H82" s="17" t="n">
        <v>573.81</v>
      </c>
      <c r="I82" s="18" t="n">
        <v>0.19</v>
      </c>
      <c r="J82" s="17" t="n">
        <f aca="false">G82*H82*(1-I82)</f>
        <v>5577.4332</v>
      </c>
      <c r="K82" s="18" t="n">
        <v>0.17</v>
      </c>
    </row>
    <row r="83" customFormat="false" ht="15" hidden="false" customHeight="true" outlineLevel="0" collapsed="false">
      <c r="A83" s="1" t="s">
        <v>156</v>
      </c>
      <c r="B83" s="16" t="n">
        <v>45432</v>
      </c>
      <c r="C83" s="1" t="s">
        <v>85</v>
      </c>
      <c r="D83" s="1" t="s">
        <v>17</v>
      </c>
      <c r="E83" s="1" t="s">
        <v>42</v>
      </c>
      <c r="F83" s="1" t="s">
        <v>14</v>
      </c>
      <c r="G83" s="1" t="n">
        <v>6</v>
      </c>
      <c r="H83" s="17" t="n">
        <v>335.85</v>
      </c>
      <c r="I83" s="18" t="n">
        <v>0.21</v>
      </c>
      <c r="J83" s="17" t="n">
        <f aca="false">G83*H83*(1-I83)</f>
        <v>1591.929</v>
      </c>
      <c r="K83" s="18" t="n">
        <v>0.36</v>
      </c>
    </row>
    <row r="84" customFormat="false" ht="15" hidden="false" customHeight="true" outlineLevel="0" collapsed="false">
      <c r="A84" s="1" t="s">
        <v>157</v>
      </c>
      <c r="B84" s="16" t="n">
        <v>45441</v>
      </c>
      <c r="C84" s="1" t="s">
        <v>64</v>
      </c>
      <c r="D84" s="1" t="s">
        <v>13</v>
      </c>
      <c r="E84" s="1" t="s">
        <v>50</v>
      </c>
      <c r="F84" s="1" t="s">
        <v>16</v>
      </c>
      <c r="G84" s="1" t="n">
        <v>4</v>
      </c>
      <c r="H84" s="17" t="n">
        <v>1115.29</v>
      </c>
      <c r="I84" s="18" t="n">
        <v>0.07</v>
      </c>
      <c r="J84" s="17" t="n">
        <f aca="false">G84*H84*(1-I84)</f>
        <v>4148.8788</v>
      </c>
      <c r="K84" s="18" t="n">
        <v>0.38</v>
      </c>
    </row>
    <row r="85" customFormat="false" ht="15" hidden="false" customHeight="true" outlineLevel="0" collapsed="false">
      <c r="A85" s="1" t="s">
        <v>158</v>
      </c>
      <c r="B85" s="16" t="n">
        <v>45444</v>
      </c>
      <c r="C85" s="1" t="s">
        <v>66</v>
      </c>
      <c r="D85" s="1" t="s">
        <v>13</v>
      </c>
      <c r="E85" s="1" t="s">
        <v>42</v>
      </c>
      <c r="F85" s="1" t="s">
        <v>18</v>
      </c>
      <c r="G85" s="1" t="n">
        <v>11</v>
      </c>
      <c r="H85" s="17" t="n">
        <v>2329.21</v>
      </c>
      <c r="I85" s="18" t="n">
        <v>0.21</v>
      </c>
      <c r="J85" s="17" t="n">
        <f aca="false">G85*H85*(1-I85)</f>
        <v>20240.8349</v>
      </c>
      <c r="K85" s="18" t="n">
        <v>0.31</v>
      </c>
    </row>
    <row r="86" customFormat="false" ht="15" hidden="false" customHeight="true" outlineLevel="0" collapsed="false">
      <c r="A86" s="1" t="s">
        <v>159</v>
      </c>
      <c r="B86" s="16" t="n">
        <v>45593</v>
      </c>
      <c r="C86" s="1" t="s">
        <v>117</v>
      </c>
      <c r="D86" s="1" t="s">
        <v>21</v>
      </c>
      <c r="E86" s="1" t="s">
        <v>36</v>
      </c>
      <c r="F86" s="1" t="s">
        <v>18</v>
      </c>
      <c r="G86" s="1" t="n">
        <v>4</v>
      </c>
      <c r="H86" s="17" t="n">
        <v>1254.14</v>
      </c>
      <c r="I86" s="18" t="n">
        <v>0.3</v>
      </c>
      <c r="J86" s="17" t="n">
        <f aca="false">G86*H86*(1-I86)</f>
        <v>3511.592</v>
      </c>
      <c r="K86" s="18" t="n">
        <v>0.33</v>
      </c>
    </row>
    <row r="87" customFormat="false" ht="15" hidden="false" customHeight="true" outlineLevel="0" collapsed="false">
      <c r="A87" s="1" t="s">
        <v>160</v>
      </c>
      <c r="B87" s="16" t="n">
        <v>45582</v>
      </c>
      <c r="C87" s="1" t="s">
        <v>64</v>
      </c>
      <c r="D87" s="1" t="s">
        <v>19</v>
      </c>
      <c r="E87" s="1" t="s">
        <v>50</v>
      </c>
      <c r="F87" s="1" t="s">
        <v>16</v>
      </c>
      <c r="G87" s="1" t="n">
        <v>12</v>
      </c>
      <c r="H87" s="17" t="n">
        <v>555.65</v>
      </c>
      <c r="I87" s="18" t="n">
        <v>0.1</v>
      </c>
      <c r="J87" s="17" t="n">
        <f aca="false">G87*H87*(1-I87)</f>
        <v>6001.02</v>
      </c>
      <c r="K87" s="18" t="n">
        <v>0.42</v>
      </c>
    </row>
    <row r="88" customFormat="false" ht="15" hidden="false" customHeight="true" outlineLevel="0" collapsed="false">
      <c r="A88" s="1" t="s">
        <v>161</v>
      </c>
      <c r="B88" s="16" t="n">
        <v>45598</v>
      </c>
      <c r="C88" s="1" t="s">
        <v>81</v>
      </c>
      <c r="D88" s="1" t="s">
        <v>15</v>
      </c>
      <c r="E88" s="1" t="s">
        <v>42</v>
      </c>
      <c r="F88" s="1" t="s">
        <v>22</v>
      </c>
      <c r="G88" s="1" t="n">
        <v>12</v>
      </c>
      <c r="H88" s="17" t="n">
        <v>858.19</v>
      </c>
      <c r="I88" s="18" t="n">
        <v>0.23</v>
      </c>
      <c r="J88" s="17" t="n">
        <f aca="false">G88*H88*(1-I88)</f>
        <v>7929.6756</v>
      </c>
      <c r="K88" s="18" t="n">
        <v>0.23</v>
      </c>
    </row>
    <row r="89" customFormat="false" ht="15" hidden="false" customHeight="true" outlineLevel="0" collapsed="false">
      <c r="A89" s="1" t="s">
        <v>162</v>
      </c>
      <c r="B89" s="16" t="n">
        <v>45540</v>
      </c>
      <c r="C89" s="1" t="s">
        <v>71</v>
      </c>
      <c r="D89" s="1" t="s">
        <v>19</v>
      </c>
      <c r="E89" s="1" t="s">
        <v>48</v>
      </c>
      <c r="F89" s="1" t="s">
        <v>22</v>
      </c>
      <c r="G89" s="1" t="n">
        <v>12</v>
      </c>
      <c r="H89" s="17" t="n">
        <v>2424.23</v>
      </c>
      <c r="I89" s="18" t="n">
        <v>0.11</v>
      </c>
      <c r="J89" s="17" t="n">
        <f aca="false">G89*H89*(1-I89)</f>
        <v>25890.7764</v>
      </c>
      <c r="K89" s="18" t="n">
        <v>0.19</v>
      </c>
    </row>
    <row r="90" customFormat="false" ht="15" hidden="false" customHeight="true" outlineLevel="0" collapsed="false">
      <c r="A90" s="1" t="s">
        <v>163</v>
      </c>
      <c r="B90" s="16" t="n">
        <v>45651</v>
      </c>
      <c r="C90" s="1" t="s">
        <v>66</v>
      </c>
      <c r="D90" s="1" t="s">
        <v>15</v>
      </c>
      <c r="E90" s="1" t="s">
        <v>40</v>
      </c>
      <c r="F90" s="1" t="s">
        <v>14</v>
      </c>
      <c r="G90" s="1" t="n">
        <v>11</v>
      </c>
      <c r="H90" s="17" t="n">
        <v>2408.99</v>
      </c>
      <c r="I90" s="18" t="n">
        <v>0.14</v>
      </c>
      <c r="J90" s="17" t="n">
        <f aca="false">G90*H90*(1-I90)</f>
        <v>22789.0454</v>
      </c>
      <c r="K90" s="18" t="n">
        <v>0.42</v>
      </c>
    </row>
    <row r="91" customFormat="false" ht="15" hidden="false" customHeight="true" outlineLevel="0" collapsed="false">
      <c r="A91" s="1" t="s">
        <v>164</v>
      </c>
      <c r="B91" s="16" t="n">
        <v>45623</v>
      </c>
      <c r="C91" s="1" t="s">
        <v>81</v>
      </c>
      <c r="D91" s="1" t="s">
        <v>17</v>
      </c>
      <c r="E91" s="1" t="s">
        <v>46</v>
      </c>
      <c r="F91" s="1" t="s">
        <v>22</v>
      </c>
      <c r="G91" s="1" t="n">
        <v>17</v>
      </c>
      <c r="H91" s="17" t="n">
        <v>1823.31</v>
      </c>
      <c r="I91" s="18" t="n">
        <v>0.29</v>
      </c>
      <c r="J91" s="17" t="n">
        <f aca="false">G91*H91*(1-I91)</f>
        <v>22007.3517</v>
      </c>
      <c r="K91" s="18" t="n">
        <v>0.26</v>
      </c>
    </row>
    <row r="92" customFormat="false" ht="15" hidden="false" customHeight="true" outlineLevel="0" collapsed="false">
      <c r="A92" s="1" t="s">
        <v>165</v>
      </c>
      <c r="B92" s="16" t="n">
        <v>45301</v>
      </c>
      <c r="C92" s="1" t="s">
        <v>73</v>
      </c>
      <c r="D92" s="1" t="s">
        <v>15</v>
      </c>
      <c r="E92" s="1" t="s">
        <v>44</v>
      </c>
      <c r="F92" s="1" t="s">
        <v>18</v>
      </c>
      <c r="G92" s="1" t="n">
        <v>12</v>
      </c>
      <c r="H92" s="17" t="n">
        <v>94.49</v>
      </c>
      <c r="I92" s="18" t="n">
        <v>0.26</v>
      </c>
      <c r="J92" s="17" t="n">
        <f aca="false">G92*H92*(1-I92)</f>
        <v>839.0712</v>
      </c>
      <c r="K92" s="18" t="n">
        <v>0.18</v>
      </c>
    </row>
    <row r="93" customFormat="false" ht="15" hidden="false" customHeight="true" outlineLevel="0" collapsed="false">
      <c r="A93" s="1" t="s">
        <v>166</v>
      </c>
      <c r="B93" s="16" t="n">
        <v>45409</v>
      </c>
      <c r="C93" s="1" t="s">
        <v>117</v>
      </c>
      <c r="D93" s="1" t="s">
        <v>19</v>
      </c>
      <c r="E93" s="1" t="s">
        <v>46</v>
      </c>
      <c r="F93" s="1" t="s">
        <v>16</v>
      </c>
      <c r="G93" s="1" t="n">
        <v>13</v>
      </c>
      <c r="H93" s="17" t="n">
        <v>192.21</v>
      </c>
      <c r="I93" s="18" t="n">
        <v>0.19</v>
      </c>
      <c r="J93" s="17" t="n">
        <f aca="false">G93*H93*(1-I93)</f>
        <v>2023.9713</v>
      </c>
      <c r="K93" s="18" t="n">
        <v>0.28</v>
      </c>
    </row>
    <row r="94" customFormat="false" ht="15" hidden="false" customHeight="true" outlineLevel="0" collapsed="false">
      <c r="A94" s="1" t="s">
        <v>167</v>
      </c>
      <c r="B94" s="16" t="n">
        <v>45460</v>
      </c>
      <c r="C94" s="1" t="s">
        <v>77</v>
      </c>
      <c r="D94" s="1" t="s">
        <v>21</v>
      </c>
      <c r="E94" s="1" t="s">
        <v>38</v>
      </c>
      <c r="F94" s="1" t="s">
        <v>18</v>
      </c>
      <c r="G94" s="1" t="n">
        <v>10</v>
      </c>
      <c r="H94" s="17" t="n">
        <v>991.77</v>
      </c>
      <c r="I94" s="18" t="n">
        <v>0.19</v>
      </c>
      <c r="J94" s="17" t="n">
        <f aca="false">G94*H94*(1-I94)</f>
        <v>8033.337</v>
      </c>
      <c r="K94" s="18" t="n">
        <v>0.24</v>
      </c>
    </row>
    <row r="95" customFormat="false" ht="15" hidden="false" customHeight="true" outlineLevel="0" collapsed="false">
      <c r="A95" s="1" t="s">
        <v>168</v>
      </c>
      <c r="B95" s="16" t="n">
        <v>45424</v>
      </c>
      <c r="C95" s="1" t="s">
        <v>95</v>
      </c>
      <c r="D95" s="1" t="s">
        <v>21</v>
      </c>
      <c r="E95" s="1" t="s">
        <v>50</v>
      </c>
      <c r="F95" s="1" t="s">
        <v>20</v>
      </c>
      <c r="G95" s="1" t="n">
        <v>17</v>
      </c>
      <c r="H95" s="17" t="n">
        <v>932.49</v>
      </c>
      <c r="I95" s="18" t="n">
        <v>0.29</v>
      </c>
      <c r="J95" s="17" t="n">
        <f aca="false">G95*H95*(1-I95)</f>
        <v>11255.1543</v>
      </c>
      <c r="K95" s="18" t="n">
        <v>0.17</v>
      </c>
    </row>
    <row r="96" customFormat="false" ht="15" hidden="false" customHeight="true" outlineLevel="0" collapsed="false">
      <c r="A96" s="1" t="s">
        <v>169</v>
      </c>
      <c r="B96" s="16" t="n">
        <v>45402</v>
      </c>
      <c r="C96" s="1" t="s">
        <v>85</v>
      </c>
      <c r="D96" s="1" t="s">
        <v>19</v>
      </c>
      <c r="E96" s="1" t="s">
        <v>40</v>
      </c>
      <c r="F96" s="1" t="s">
        <v>14</v>
      </c>
      <c r="G96" s="1" t="n">
        <v>7</v>
      </c>
      <c r="H96" s="17" t="n">
        <v>802.42</v>
      </c>
      <c r="I96" s="18" t="n">
        <v>0.01</v>
      </c>
      <c r="J96" s="17" t="n">
        <f aca="false">G96*H96*(1-I96)</f>
        <v>5560.7706</v>
      </c>
      <c r="K96" s="18" t="n">
        <v>0.34</v>
      </c>
    </row>
    <row r="97" customFormat="false" ht="15" hidden="false" customHeight="true" outlineLevel="0" collapsed="false">
      <c r="A97" s="1" t="s">
        <v>170</v>
      </c>
      <c r="B97" s="16" t="n">
        <v>45575</v>
      </c>
      <c r="C97" s="1" t="s">
        <v>77</v>
      </c>
      <c r="D97" s="1" t="s">
        <v>19</v>
      </c>
      <c r="E97" s="1" t="s">
        <v>42</v>
      </c>
      <c r="F97" s="1" t="s">
        <v>22</v>
      </c>
      <c r="G97" s="1" t="n">
        <v>20</v>
      </c>
      <c r="H97" s="17" t="n">
        <v>1333.62</v>
      </c>
      <c r="I97" s="18" t="n">
        <v>0.14</v>
      </c>
      <c r="J97" s="17" t="n">
        <f aca="false">G97*H97*(1-I97)</f>
        <v>22938.264</v>
      </c>
      <c r="K97" s="18" t="n">
        <v>0.43</v>
      </c>
    </row>
    <row r="98" customFormat="false" ht="15" hidden="false" customHeight="true" outlineLevel="0" collapsed="false">
      <c r="A98" s="1" t="s">
        <v>171</v>
      </c>
      <c r="B98" s="16" t="n">
        <v>45485</v>
      </c>
      <c r="C98" s="1" t="s">
        <v>95</v>
      </c>
      <c r="D98" s="1" t="s">
        <v>13</v>
      </c>
      <c r="E98" s="1" t="s">
        <v>40</v>
      </c>
      <c r="F98" s="1" t="s">
        <v>20</v>
      </c>
      <c r="G98" s="1" t="n">
        <v>7</v>
      </c>
      <c r="H98" s="17" t="n">
        <v>2248.47</v>
      </c>
      <c r="I98" s="18" t="n">
        <v>0.27</v>
      </c>
      <c r="J98" s="17" t="n">
        <f aca="false">G98*H98*(1-I98)</f>
        <v>11489.6817</v>
      </c>
      <c r="K98" s="18" t="n">
        <v>0.19</v>
      </c>
    </row>
    <row r="99" customFormat="false" ht="15" hidden="false" customHeight="true" outlineLevel="0" collapsed="false">
      <c r="A99" s="1" t="s">
        <v>172</v>
      </c>
      <c r="B99" s="16" t="n">
        <v>45433</v>
      </c>
      <c r="C99" s="1" t="s">
        <v>117</v>
      </c>
      <c r="D99" s="1" t="s">
        <v>17</v>
      </c>
      <c r="E99" s="1" t="s">
        <v>50</v>
      </c>
      <c r="F99" s="1" t="s">
        <v>18</v>
      </c>
      <c r="G99" s="1" t="n">
        <v>12</v>
      </c>
      <c r="H99" s="17" t="n">
        <v>721.26</v>
      </c>
      <c r="I99" s="18" t="n">
        <v>0.23</v>
      </c>
      <c r="J99" s="17" t="n">
        <f aca="false">G99*H99*(1-I99)</f>
        <v>6664.4424</v>
      </c>
      <c r="K99" s="18" t="n">
        <v>0.32</v>
      </c>
    </row>
    <row r="100" customFormat="false" ht="15" hidden="false" customHeight="true" outlineLevel="0" collapsed="false">
      <c r="A100" s="1" t="s">
        <v>173</v>
      </c>
      <c r="B100" s="16" t="n">
        <v>45526</v>
      </c>
      <c r="C100" s="1" t="s">
        <v>73</v>
      </c>
      <c r="D100" s="1" t="s">
        <v>15</v>
      </c>
      <c r="E100" s="1" t="s">
        <v>36</v>
      </c>
      <c r="F100" s="1" t="s">
        <v>22</v>
      </c>
      <c r="G100" s="1" t="n">
        <v>11</v>
      </c>
      <c r="H100" s="17" t="n">
        <v>1153.88</v>
      </c>
      <c r="I100" s="18" t="n">
        <v>0.05</v>
      </c>
      <c r="J100" s="17" t="n">
        <f aca="false">G100*H100*(1-I100)</f>
        <v>12058.046</v>
      </c>
      <c r="K100" s="18" t="n">
        <v>0.26</v>
      </c>
    </row>
    <row r="101" customFormat="false" ht="15" hidden="false" customHeight="true" outlineLevel="0" collapsed="false">
      <c r="A101" s="1" t="s">
        <v>174</v>
      </c>
      <c r="B101" s="16" t="n">
        <v>45340</v>
      </c>
      <c r="C101" s="1" t="s">
        <v>117</v>
      </c>
      <c r="D101" s="1" t="s">
        <v>21</v>
      </c>
      <c r="E101" s="1" t="s">
        <v>46</v>
      </c>
      <c r="F101" s="1" t="s">
        <v>18</v>
      </c>
      <c r="G101" s="1" t="n">
        <v>10</v>
      </c>
      <c r="H101" s="17" t="n">
        <v>2155.04</v>
      </c>
      <c r="I101" s="18" t="n">
        <v>0.2</v>
      </c>
      <c r="J101" s="17" t="n">
        <f aca="false">G101*H101*(1-I101)</f>
        <v>17240.32</v>
      </c>
      <c r="K101" s="18" t="n">
        <v>0.35</v>
      </c>
    </row>
    <row r="102" customFormat="false" ht="15" hidden="false" customHeight="true" outlineLevel="0" collapsed="false">
      <c r="A102" s="1" t="s">
        <v>175</v>
      </c>
      <c r="B102" s="16" t="n">
        <v>45373</v>
      </c>
      <c r="C102" s="1" t="s">
        <v>64</v>
      </c>
      <c r="D102" s="1" t="s">
        <v>17</v>
      </c>
      <c r="E102" s="1" t="s">
        <v>48</v>
      </c>
      <c r="F102" s="1" t="s">
        <v>14</v>
      </c>
      <c r="G102" s="1" t="n">
        <v>6</v>
      </c>
      <c r="H102" s="17" t="n">
        <v>2144.18</v>
      </c>
      <c r="I102" s="18" t="n">
        <v>0.18</v>
      </c>
      <c r="J102" s="17" t="n">
        <f aca="false">G102*H102*(1-I102)</f>
        <v>10549.3656</v>
      </c>
      <c r="K102" s="18" t="n">
        <v>0.32</v>
      </c>
    </row>
    <row r="103" customFormat="false" ht="15" hidden="false" customHeight="true" outlineLevel="0" collapsed="false">
      <c r="A103" s="1" t="s">
        <v>176</v>
      </c>
      <c r="B103" s="16" t="n">
        <v>45398</v>
      </c>
      <c r="C103" s="1" t="s">
        <v>71</v>
      </c>
      <c r="D103" s="1" t="s">
        <v>19</v>
      </c>
      <c r="E103" s="1" t="s">
        <v>42</v>
      </c>
      <c r="F103" s="1" t="s">
        <v>16</v>
      </c>
      <c r="G103" s="1" t="n">
        <v>6</v>
      </c>
      <c r="H103" s="17" t="n">
        <v>688.39</v>
      </c>
      <c r="I103" s="18" t="n">
        <v>0.2</v>
      </c>
      <c r="J103" s="17" t="n">
        <f aca="false">G103*H103*(1-I103)</f>
        <v>3304.272</v>
      </c>
      <c r="K103" s="18" t="n">
        <v>0.44</v>
      </c>
    </row>
    <row r="104" customFormat="false" ht="15" hidden="false" customHeight="true" outlineLevel="0" collapsed="false">
      <c r="A104" s="1" t="s">
        <v>177</v>
      </c>
      <c r="B104" s="16" t="n">
        <v>45433</v>
      </c>
      <c r="C104" s="1" t="s">
        <v>71</v>
      </c>
      <c r="D104" s="1" t="s">
        <v>13</v>
      </c>
      <c r="E104" s="1" t="s">
        <v>40</v>
      </c>
      <c r="F104" s="1" t="s">
        <v>18</v>
      </c>
      <c r="G104" s="1" t="n">
        <v>11</v>
      </c>
      <c r="H104" s="17" t="n">
        <v>1112.25</v>
      </c>
      <c r="I104" s="18" t="n">
        <v>0.26</v>
      </c>
      <c r="J104" s="17" t="n">
        <f aca="false">G104*H104*(1-I104)</f>
        <v>9053.715</v>
      </c>
      <c r="K104" s="18" t="n">
        <v>0.31</v>
      </c>
    </row>
    <row r="105" customFormat="false" ht="15" hidden="false" customHeight="true" outlineLevel="0" collapsed="false">
      <c r="A105" s="1" t="s">
        <v>178</v>
      </c>
      <c r="B105" s="16" t="n">
        <v>45476</v>
      </c>
      <c r="C105" s="1" t="s">
        <v>73</v>
      </c>
      <c r="D105" s="1" t="s">
        <v>13</v>
      </c>
      <c r="E105" s="1" t="s">
        <v>50</v>
      </c>
      <c r="F105" s="1" t="s">
        <v>16</v>
      </c>
      <c r="G105" s="1" t="n">
        <v>3</v>
      </c>
      <c r="H105" s="17" t="n">
        <v>2342.36</v>
      </c>
      <c r="I105" s="18" t="n">
        <v>0.17</v>
      </c>
      <c r="J105" s="17" t="n">
        <f aca="false">G105*H105*(1-I105)</f>
        <v>5832.4764</v>
      </c>
      <c r="K105" s="18" t="n">
        <v>0.3</v>
      </c>
    </row>
    <row r="106" customFormat="false" ht="15" hidden="false" customHeight="true" outlineLevel="0" collapsed="false">
      <c r="A106" s="1" t="s">
        <v>179</v>
      </c>
      <c r="B106" s="16" t="n">
        <v>45510</v>
      </c>
      <c r="C106" s="1" t="s">
        <v>71</v>
      </c>
      <c r="D106" s="1" t="s">
        <v>21</v>
      </c>
      <c r="E106" s="1" t="s">
        <v>46</v>
      </c>
      <c r="F106" s="1" t="s">
        <v>22</v>
      </c>
      <c r="G106" s="1" t="n">
        <v>8</v>
      </c>
      <c r="H106" s="17" t="n">
        <v>1472.54</v>
      </c>
      <c r="I106" s="18" t="n">
        <v>0.21</v>
      </c>
      <c r="J106" s="17" t="n">
        <f aca="false">G106*H106*(1-I106)</f>
        <v>9306.4528</v>
      </c>
      <c r="K106" s="18" t="n">
        <v>0.24</v>
      </c>
    </row>
    <row r="107" customFormat="false" ht="15" hidden="false" customHeight="true" outlineLevel="0" collapsed="false">
      <c r="A107" s="1" t="s">
        <v>180</v>
      </c>
      <c r="B107" s="16" t="n">
        <v>45347</v>
      </c>
      <c r="C107" s="1" t="s">
        <v>73</v>
      </c>
      <c r="D107" s="1" t="s">
        <v>13</v>
      </c>
      <c r="E107" s="1" t="s">
        <v>44</v>
      </c>
      <c r="F107" s="1" t="s">
        <v>20</v>
      </c>
      <c r="G107" s="1" t="n">
        <v>3</v>
      </c>
      <c r="H107" s="17" t="n">
        <v>1881.37</v>
      </c>
      <c r="I107" s="18" t="n">
        <v>0.16</v>
      </c>
      <c r="J107" s="17" t="n">
        <f aca="false">G107*H107*(1-I107)</f>
        <v>4741.0524</v>
      </c>
      <c r="K107" s="18" t="n">
        <v>0.2</v>
      </c>
    </row>
    <row r="108" customFormat="false" ht="15" hidden="false" customHeight="true" outlineLevel="0" collapsed="false">
      <c r="A108" s="1" t="s">
        <v>181</v>
      </c>
      <c r="B108" s="16" t="n">
        <v>45585</v>
      </c>
      <c r="C108" s="1" t="s">
        <v>69</v>
      </c>
      <c r="D108" s="1" t="s">
        <v>15</v>
      </c>
      <c r="E108" s="1" t="s">
        <v>42</v>
      </c>
      <c r="F108" s="1" t="s">
        <v>16</v>
      </c>
      <c r="G108" s="1" t="n">
        <v>18</v>
      </c>
      <c r="H108" s="17" t="n">
        <v>1315.86</v>
      </c>
      <c r="I108" s="18" t="n">
        <v>0.26</v>
      </c>
      <c r="J108" s="17" t="n">
        <f aca="false">G108*H108*(1-I108)</f>
        <v>17527.2552</v>
      </c>
      <c r="K108" s="18" t="n">
        <v>0.38</v>
      </c>
    </row>
    <row r="109" customFormat="false" ht="15" hidden="false" customHeight="true" outlineLevel="0" collapsed="false">
      <c r="A109" s="1" t="s">
        <v>182</v>
      </c>
      <c r="B109" s="16" t="n">
        <v>45360</v>
      </c>
      <c r="C109" s="1" t="s">
        <v>66</v>
      </c>
      <c r="D109" s="1" t="s">
        <v>13</v>
      </c>
      <c r="E109" s="1" t="s">
        <v>42</v>
      </c>
      <c r="F109" s="1" t="s">
        <v>14</v>
      </c>
      <c r="G109" s="1" t="n">
        <v>14</v>
      </c>
      <c r="H109" s="17" t="n">
        <v>2033.4</v>
      </c>
      <c r="I109" s="18" t="n">
        <v>0.21</v>
      </c>
      <c r="J109" s="17" t="n">
        <f aca="false">G109*H109*(1-I109)</f>
        <v>22489.404</v>
      </c>
      <c r="K109" s="18" t="n">
        <v>0.33</v>
      </c>
    </row>
    <row r="110" customFormat="false" ht="15" hidden="false" customHeight="true" outlineLevel="0" collapsed="false">
      <c r="A110" s="1" t="s">
        <v>183</v>
      </c>
      <c r="B110" s="16" t="n">
        <v>45508</v>
      </c>
      <c r="C110" s="1" t="s">
        <v>64</v>
      </c>
      <c r="D110" s="1" t="s">
        <v>13</v>
      </c>
      <c r="E110" s="1" t="s">
        <v>42</v>
      </c>
      <c r="F110" s="1" t="s">
        <v>14</v>
      </c>
      <c r="G110" s="1" t="n">
        <v>13</v>
      </c>
      <c r="H110" s="17" t="n">
        <v>1565.57</v>
      </c>
      <c r="I110" s="18" t="n">
        <v>0.12</v>
      </c>
      <c r="J110" s="17" t="n">
        <f aca="false">G110*H110*(1-I110)</f>
        <v>17910.1208</v>
      </c>
      <c r="K110" s="18" t="n">
        <v>0.21</v>
      </c>
    </row>
    <row r="111" customFormat="false" ht="15" hidden="false" customHeight="true" outlineLevel="0" collapsed="false">
      <c r="A111" s="1" t="s">
        <v>184</v>
      </c>
      <c r="B111" s="16" t="n">
        <v>45378</v>
      </c>
      <c r="C111" s="1" t="s">
        <v>93</v>
      </c>
      <c r="D111" s="1" t="s">
        <v>21</v>
      </c>
      <c r="E111" s="1" t="s">
        <v>40</v>
      </c>
      <c r="F111" s="1" t="s">
        <v>14</v>
      </c>
      <c r="G111" s="1" t="n">
        <v>14</v>
      </c>
      <c r="H111" s="17" t="n">
        <v>553.28</v>
      </c>
      <c r="I111" s="18" t="n">
        <v>0.27</v>
      </c>
      <c r="J111" s="17" t="n">
        <f aca="false">G111*H111*(1-I111)</f>
        <v>5654.5216</v>
      </c>
      <c r="K111" s="18" t="n">
        <v>0.21</v>
      </c>
    </row>
    <row r="112" customFormat="false" ht="15" hidden="false" customHeight="true" outlineLevel="0" collapsed="false">
      <c r="A112" s="1" t="s">
        <v>185</v>
      </c>
      <c r="B112" s="16" t="n">
        <v>45464</v>
      </c>
      <c r="C112" s="1" t="s">
        <v>77</v>
      </c>
      <c r="D112" s="1" t="s">
        <v>19</v>
      </c>
      <c r="E112" s="1" t="s">
        <v>36</v>
      </c>
      <c r="F112" s="1" t="s">
        <v>14</v>
      </c>
      <c r="G112" s="1" t="n">
        <v>16</v>
      </c>
      <c r="H112" s="17" t="n">
        <v>448.31</v>
      </c>
      <c r="I112" s="18" t="n">
        <v>0.12</v>
      </c>
      <c r="J112" s="17" t="n">
        <f aca="false">G112*H112*(1-I112)</f>
        <v>6312.2048</v>
      </c>
      <c r="K112" s="18" t="n">
        <v>0.38</v>
      </c>
    </row>
    <row r="113" customFormat="false" ht="15" hidden="false" customHeight="true" outlineLevel="0" collapsed="false">
      <c r="A113" s="1" t="s">
        <v>186</v>
      </c>
      <c r="B113" s="16" t="n">
        <v>45413</v>
      </c>
      <c r="C113" s="1" t="s">
        <v>95</v>
      </c>
      <c r="D113" s="1" t="s">
        <v>13</v>
      </c>
      <c r="E113" s="1" t="s">
        <v>32</v>
      </c>
      <c r="F113" s="1" t="s">
        <v>20</v>
      </c>
      <c r="G113" s="1" t="n">
        <v>1</v>
      </c>
      <c r="H113" s="17" t="n">
        <v>420.45</v>
      </c>
      <c r="I113" s="18" t="n">
        <v>0.11</v>
      </c>
      <c r="J113" s="17" t="n">
        <f aca="false">G113*H113*(1-I113)</f>
        <v>374.2005</v>
      </c>
      <c r="K113" s="18" t="n">
        <v>0.19</v>
      </c>
    </row>
    <row r="114" customFormat="false" ht="15" hidden="false" customHeight="true" outlineLevel="0" collapsed="false">
      <c r="A114" s="1" t="s">
        <v>187</v>
      </c>
      <c r="B114" s="16" t="n">
        <v>45594</v>
      </c>
      <c r="C114" s="1" t="s">
        <v>95</v>
      </c>
      <c r="D114" s="1" t="s">
        <v>21</v>
      </c>
      <c r="E114" s="1" t="s">
        <v>36</v>
      </c>
      <c r="F114" s="1" t="s">
        <v>22</v>
      </c>
      <c r="G114" s="1" t="n">
        <v>7</v>
      </c>
      <c r="H114" s="17" t="n">
        <v>2293.76</v>
      </c>
      <c r="I114" s="18" t="n">
        <v>0.21</v>
      </c>
      <c r="J114" s="17" t="n">
        <f aca="false">G114*H114*(1-I114)</f>
        <v>12684.4928</v>
      </c>
      <c r="K114" s="18" t="n">
        <v>0.35</v>
      </c>
    </row>
    <row r="115" customFormat="false" ht="15" hidden="false" customHeight="true" outlineLevel="0" collapsed="false">
      <c r="A115" s="1" t="s">
        <v>188</v>
      </c>
      <c r="B115" s="16" t="n">
        <v>45559</v>
      </c>
      <c r="C115" s="1" t="s">
        <v>71</v>
      </c>
      <c r="D115" s="1" t="s">
        <v>19</v>
      </c>
      <c r="E115" s="1" t="s">
        <v>40</v>
      </c>
      <c r="F115" s="1" t="s">
        <v>20</v>
      </c>
      <c r="G115" s="1" t="n">
        <v>6</v>
      </c>
      <c r="H115" s="17" t="n">
        <v>1466.58</v>
      </c>
      <c r="I115" s="18" t="n">
        <v>0.16</v>
      </c>
      <c r="J115" s="17" t="n">
        <f aca="false">G115*H115*(1-I115)</f>
        <v>7391.5632</v>
      </c>
      <c r="K115" s="18" t="n">
        <v>0.32</v>
      </c>
    </row>
    <row r="116" customFormat="false" ht="15" hidden="false" customHeight="true" outlineLevel="0" collapsed="false">
      <c r="A116" s="1" t="s">
        <v>189</v>
      </c>
      <c r="B116" s="16" t="n">
        <v>45528</v>
      </c>
      <c r="C116" s="1" t="s">
        <v>69</v>
      </c>
      <c r="D116" s="1" t="s">
        <v>21</v>
      </c>
      <c r="E116" s="1" t="s">
        <v>36</v>
      </c>
      <c r="F116" s="1" t="s">
        <v>22</v>
      </c>
      <c r="G116" s="1" t="n">
        <v>15</v>
      </c>
      <c r="H116" s="17" t="n">
        <v>1920.09</v>
      </c>
      <c r="I116" s="18" t="n">
        <v>0.25</v>
      </c>
      <c r="J116" s="17" t="n">
        <f aca="false">G116*H116*(1-I116)</f>
        <v>21601.0125</v>
      </c>
      <c r="K116" s="18" t="n">
        <v>0.16</v>
      </c>
    </row>
    <row r="117" customFormat="false" ht="15" hidden="false" customHeight="true" outlineLevel="0" collapsed="false">
      <c r="A117" s="1" t="s">
        <v>190</v>
      </c>
      <c r="B117" s="16" t="n">
        <v>45620</v>
      </c>
      <c r="C117" s="1" t="s">
        <v>88</v>
      </c>
      <c r="D117" s="1" t="s">
        <v>15</v>
      </c>
      <c r="E117" s="1" t="s">
        <v>46</v>
      </c>
      <c r="F117" s="1" t="s">
        <v>16</v>
      </c>
      <c r="G117" s="1" t="n">
        <v>5</v>
      </c>
      <c r="H117" s="17" t="n">
        <v>2200.14</v>
      </c>
      <c r="I117" s="18" t="n">
        <v>0.11</v>
      </c>
      <c r="J117" s="17" t="n">
        <f aca="false">G117*H117*(1-I117)</f>
        <v>9790.623</v>
      </c>
      <c r="K117" s="18" t="n">
        <v>0.21</v>
      </c>
    </row>
    <row r="118" customFormat="false" ht="15" hidden="false" customHeight="true" outlineLevel="0" collapsed="false">
      <c r="A118" s="1" t="s">
        <v>191</v>
      </c>
      <c r="B118" s="16" t="n">
        <v>45575</v>
      </c>
      <c r="C118" s="1" t="s">
        <v>71</v>
      </c>
      <c r="D118" s="1" t="s">
        <v>19</v>
      </c>
      <c r="E118" s="1" t="s">
        <v>44</v>
      </c>
      <c r="F118" s="1" t="s">
        <v>18</v>
      </c>
      <c r="G118" s="1" t="n">
        <v>8</v>
      </c>
      <c r="H118" s="17" t="n">
        <v>1621.45</v>
      </c>
      <c r="I118" s="18" t="n">
        <v>0.25</v>
      </c>
      <c r="J118" s="17" t="n">
        <f aca="false">G118*H118*(1-I118)</f>
        <v>9728.7</v>
      </c>
      <c r="K118" s="18" t="n">
        <v>0.21</v>
      </c>
    </row>
    <row r="119" customFormat="false" ht="15" hidden="false" customHeight="true" outlineLevel="0" collapsed="false">
      <c r="A119" s="1" t="s">
        <v>192</v>
      </c>
      <c r="B119" s="16" t="n">
        <v>45323</v>
      </c>
      <c r="C119" s="1" t="s">
        <v>71</v>
      </c>
      <c r="D119" s="1" t="s">
        <v>15</v>
      </c>
      <c r="E119" s="1" t="s">
        <v>44</v>
      </c>
      <c r="F119" s="1" t="s">
        <v>18</v>
      </c>
      <c r="G119" s="1" t="n">
        <v>8</v>
      </c>
      <c r="H119" s="17" t="n">
        <v>1708.83</v>
      </c>
      <c r="I119" s="18" t="n">
        <v>0.22</v>
      </c>
      <c r="J119" s="17" t="n">
        <f aca="false">G119*H119*(1-I119)</f>
        <v>10663.0992</v>
      </c>
      <c r="K119" s="18" t="n">
        <v>0.32</v>
      </c>
    </row>
    <row r="120" customFormat="false" ht="15" hidden="false" customHeight="true" outlineLevel="0" collapsed="false">
      <c r="A120" s="1" t="s">
        <v>193</v>
      </c>
      <c r="B120" s="16" t="n">
        <v>45508</v>
      </c>
      <c r="C120" s="1" t="s">
        <v>81</v>
      </c>
      <c r="D120" s="1" t="s">
        <v>15</v>
      </c>
      <c r="E120" s="1" t="s">
        <v>32</v>
      </c>
      <c r="F120" s="1" t="s">
        <v>14</v>
      </c>
      <c r="G120" s="1" t="n">
        <v>3</v>
      </c>
      <c r="H120" s="17" t="n">
        <v>184.16</v>
      </c>
      <c r="I120" s="18" t="n">
        <v>0.12</v>
      </c>
      <c r="J120" s="17" t="n">
        <f aca="false">G120*H120*(1-I120)</f>
        <v>486.1824</v>
      </c>
      <c r="K120" s="18" t="n">
        <v>0.37</v>
      </c>
    </row>
    <row r="121" customFormat="false" ht="15" hidden="false" customHeight="true" outlineLevel="0" collapsed="false">
      <c r="A121" s="1" t="s">
        <v>194</v>
      </c>
      <c r="B121" s="16" t="n">
        <v>45638</v>
      </c>
      <c r="C121" s="1" t="s">
        <v>93</v>
      </c>
      <c r="D121" s="1" t="s">
        <v>21</v>
      </c>
      <c r="E121" s="1" t="s">
        <v>44</v>
      </c>
      <c r="F121" s="1" t="s">
        <v>14</v>
      </c>
      <c r="G121" s="1" t="n">
        <v>17</v>
      </c>
      <c r="H121" s="17" t="n">
        <v>901.01</v>
      </c>
      <c r="I121" s="18" t="n">
        <v>0.04</v>
      </c>
      <c r="J121" s="17" t="n">
        <f aca="false">G121*H121*(1-I121)</f>
        <v>14704.4832</v>
      </c>
      <c r="K121" s="18" t="n">
        <v>0.4</v>
      </c>
    </row>
    <row r="122" customFormat="false" ht="15" hidden="false" customHeight="true" outlineLevel="0" collapsed="false">
      <c r="A122" s="1" t="s">
        <v>195</v>
      </c>
      <c r="B122" s="16" t="n">
        <v>45334</v>
      </c>
      <c r="C122" s="1" t="s">
        <v>93</v>
      </c>
      <c r="D122" s="1" t="s">
        <v>21</v>
      </c>
      <c r="E122" s="1" t="s">
        <v>42</v>
      </c>
      <c r="F122" s="1" t="s">
        <v>14</v>
      </c>
      <c r="G122" s="1" t="n">
        <v>9</v>
      </c>
      <c r="H122" s="17" t="n">
        <v>2345.91</v>
      </c>
      <c r="I122" s="18" t="n">
        <v>0.08</v>
      </c>
      <c r="J122" s="17" t="n">
        <f aca="false">G122*H122*(1-I122)</f>
        <v>19424.1348</v>
      </c>
      <c r="K122" s="18" t="n">
        <v>0.26</v>
      </c>
    </row>
    <row r="123" customFormat="false" ht="15" hidden="false" customHeight="true" outlineLevel="0" collapsed="false">
      <c r="A123" s="1" t="s">
        <v>196</v>
      </c>
      <c r="B123" s="16" t="n">
        <v>45591</v>
      </c>
      <c r="C123" s="1" t="s">
        <v>69</v>
      </c>
      <c r="D123" s="1" t="s">
        <v>13</v>
      </c>
      <c r="E123" s="1" t="s">
        <v>40</v>
      </c>
      <c r="F123" s="1" t="s">
        <v>20</v>
      </c>
      <c r="G123" s="1" t="n">
        <v>14</v>
      </c>
      <c r="H123" s="17" t="n">
        <v>553.87</v>
      </c>
      <c r="I123" s="18" t="n">
        <v>0.2</v>
      </c>
      <c r="J123" s="17" t="n">
        <f aca="false">G123*H123*(1-I123)</f>
        <v>6203.344</v>
      </c>
      <c r="K123" s="18" t="n">
        <v>0.32</v>
      </c>
    </row>
    <row r="124" customFormat="false" ht="15" hidden="false" customHeight="true" outlineLevel="0" collapsed="false">
      <c r="A124" s="1" t="s">
        <v>197</v>
      </c>
      <c r="B124" s="16" t="n">
        <v>45603</v>
      </c>
      <c r="C124" s="1" t="s">
        <v>71</v>
      </c>
      <c r="D124" s="1" t="s">
        <v>17</v>
      </c>
      <c r="E124" s="1" t="s">
        <v>44</v>
      </c>
      <c r="F124" s="1" t="s">
        <v>14</v>
      </c>
      <c r="G124" s="1" t="n">
        <v>1</v>
      </c>
      <c r="H124" s="17" t="n">
        <v>601.03</v>
      </c>
      <c r="I124" s="18" t="n">
        <v>0.22</v>
      </c>
      <c r="J124" s="17" t="n">
        <f aca="false">G124*H124*(1-I124)</f>
        <v>468.8034</v>
      </c>
      <c r="K124" s="18" t="n">
        <v>0.39</v>
      </c>
    </row>
    <row r="125" customFormat="false" ht="15" hidden="false" customHeight="true" outlineLevel="0" collapsed="false">
      <c r="A125" s="1" t="s">
        <v>198</v>
      </c>
      <c r="B125" s="16" t="n">
        <v>45314</v>
      </c>
      <c r="C125" s="1" t="s">
        <v>88</v>
      </c>
      <c r="D125" s="1" t="s">
        <v>17</v>
      </c>
      <c r="E125" s="1" t="s">
        <v>36</v>
      </c>
      <c r="F125" s="1" t="s">
        <v>22</v>
      </c>
      <c r="G125" s="1" t="n">
        <v>20</v>
      </c>
      <c r="H125" s="17" t="n">
        <v>1564.97</v>
      </c>
      <c r="I125" s="18" t="n">
        <v>0.15</v>
      </c>
      <c r="J125" s="17" t="n">
        <f aca="false">G125*H125*(1-I125)</f>
        <v>26604.49</v>
      </c>
      <c r="K125" s="18" t="n">
        <v>0.28</v>
      </c>
    </row>
    <row r="126" customFormat="false" ht="15" hidden="false" customHeight="true" outlineLevel="0" collapsed="false">
      <c r="A126" s="1" t="s">
        <v>199</v>
      </c>
      <c r="B126" s="16" t="n">
        <v>45340</v>
      </c>
      <c r="C126" s="1" t="s">
        <v>81</v>
      </c>
      <c r="D126" s="1" t="s">
        <v>17</v>
      </c>
      <c r="E126" s="1" t="s">
        <v>38</v>
      </c>
      <c r="F126" s="1" t="s">
        <v>18</v>
      </c>
      <c r="G126" s="1" t="n">
        <v>2</v>
      </c>
      <c r="H126" s="17" t="n">
        <v>1691.06</v>
      </c>
      <c r="I126" s="18" t="n">
        <v>0.27</v>
      </c>
      <c r="J126" s="17" t="n">
        <f aca="false">G126*H126*(1-I126)</f>
        <v>2468.9476</v>
      </c>
      <c r="K126" s="18" t="n">
        <v>0.22</v>
      </c>
    </row>
    <row r="127" customFormat="false" ht="15" hidden="false" customHeight="true" outlineLevel="0" collapsed="false">
      <c r="A127" s="1" t="s">
        <v>200</v>
      </c>
      <c r="B127" s="16" t="n">
        <v>45528</v>
      </c>
      <c r="C127" s="1" t="s">
        <v>73</v>
      </c>
      <c r="D127" s="1" t="s">
        <v>19</v>
      </c>
      <c r="E127" s="1" t="s">
        <v>48</v>
      </c>
      <c r="F127" s="1" t="s">
        <v>20</v>
      </c>
      <c r="G127" s="1" t="n">
        <v>7</v>
      </c>
      <c r="H127" s="17" t="n">
        <v>2385.1</v>
      </c>
      <c r="I127" s="18" t="n">
        <v>0.27</v>
      </c>
      <c r="J127" s="17" t="n">
        <f aca="false">G127*H127*(1-I127)</f>
        <v>12187.861</v>
      </c>
      <c r="K127" s="18" t="n">
        <v>0.4</v>
      </c>
    </row>
    <row r="128" customFormat="false" ht="15" hidden="false" customHeight="true" outlineLevel="0" collapsed="false">
      <c r="A128" s="1" t="s">
        <v>201</v>
      </c>
      <c r="B128" s="16" t="n">
        <v>45448</v>
      </c>
      <c r="C128" s="1" t="s">
        <v>73</v>
      </c>
      <c r="D128" s="1" t="s">
        <v>13</v>
      </c>
      <c r="E128" s="1" t="s">
        <v>36</v>
      </c>
      <c r="F128" s="1" t="s">
        <v>16</v>
      </c>
      <c r="G128" s="1" t="n">
        <v>14</v>
      </c>
      <c r="H128" s="17" t="n">
        <v>218.25</v>
      </c>
      <c r="I128" s="18" t="n">
        <v>0.09</v>
      </c>
      <c r="J128" s="17" t="n">
        <f aca="false">G128*H128*(1-I128)</f>
        <v>2780.505</v>
      </c>
      <c r="K128" s="18" t="n">
        <v>0.18</v>
      </c>
    </row>
    <row r="129" customFormat="false" ht="15" hidden="false" customHeight="true" outlineLevel="0" collapsed="false">
      <c r="A129" s="1" t="s">
        <v>202</v>
      </c>
      <c r="B129" s="16" t="n">
        <v>45551</v>
      </c>
      <c r="C129" s="1" t="s">
        <v>85</v>
      </c>
      <c r="D129" s="1" t="s">
        <v>15</v>
      </c>
      <c r="E129" s="1" t="s">
        <v>38</v>
      </c>
      <c r="F129" s="1" t="s">
        <v>22</v>
      </c>
      <c r="G129" s="1" t="n">
        <v>6</v>
      </c>
      <c r="H129" s="17" t="n">
        <v>582.77</v>
      </c>
      <c r="I129" s="18" t="n">
        <v>0.16</v>
      </c>
      <c r="J129" s="17" t="n">
        <f aca="false">G129*H129*(1-I129)</f>
        <v>2937.1608</v>
      </c>
      <c r="K129" s="18" t="n">
        <v>0.39</v>
      </c>
    </row>
    <row r="130" customFormat="false" ht="15" hidden="false" customHeight="true" outlineLevel="0" collapsed="false">
      <c r="A130" s="1" t="s">
        <v>203</v>
      </c>
      <c r="B130" s="16" t="n">
        <v>45475</v>
      </c>
      <c r="C130" s="1" t="s">
        <v>71</v>
      </c>
      <c r="D130" s="1" t="s">
        <v>17</v>
      </c>
      <c r="E130" s="1" t="s">
        <v>50</v>
      </c>
      <c r="F130" s="1" t="s">
        <v>14</v>
      </c>
      <c r="G130" s="1" t="n">
        <v>8</v>
      </c>
      <c r="H130" s="17" t="n">
        <v>2073.23</v>
      </c>
      <c r="I130" s="18" t="n">
        <v>0.13</v>
      </c>
      <c r="J130" s="17" t="n">
        <f aca="false">G130*H130*(1-I130)</f>
        <v>14429.6808</v>
      </c>
      <c r="K130" s="18" t="n">
        <v>0.16</v>
      </c>
    </row>
    <row r="131" customFormat="false" ht="15" hidden="false" customHeight="true" outlineLevel="0" collapsed="false">
      <c r="A131" s="1" t="s">
        <v>204</v>
      </c>
      <c r="B131" s="16" t="n">
        <v>45554</v>
      </c>
      <c r="C131" s="1" t="s">
        <v>73</v>
      </c>
      <c r="D131" s="1" t="s">
        <v>15</v>
      </c>
      <c r="E131" s="1" t="s">
        <v>38</v>
      </c>
      <c r="F131" s="1" t="s">
        <v>20</v>
      </c>
      <c r="G131" s="1" t="n">
        <v>18</v>
      </c>
      <c r="H131" s="17" t="n">
        <v>518.91</v>
      </c>
      <c r="I131" s="18" t="n">
        <v>0.08</v>
      </c>
      <c r="J131" s="17" t="n">
        <f aca="false">G131*H131*(1-I131)</f>
        <v>8593.1496</v>
      </c>
      <c r="K131" s="18" t="n">
        <v>0.42</v>
      </c>
    </row>
    <row r="132" customFormat="false" ht="15" hidden="false" customHeight="true" outlineLevel="0" collapsed="false">
      <c r="A132" s="1" t="s">
        <v>205</v>
      </c>
      <c r="B132" s="16" t="n">
        <v>45304</v>
      </c>
      <c r="C132" s="1" t="s">
        <v>81</v>
      </c>
      <c r="D132" s="1" t="s">
        <v>13</v>
      </c>
      <c r="E132" s="1" t="s">
        <v>42</v>
      </c>
      <c r="F132" s="1" t="s">
        <v>16</v>
      </c>
      <c r="G132" s="1" t="n">
        <v>4</v>
      </c>
      <c r="H132" s="17" t="n">
        <v>173.75</v>
      </c>
      <c r="I132" s="18" t="n">
        <v>0.15</v>
      </c>
      <c r="J132" s="17" t="n">
        <f aca="false">G132*H132*(1-I132)</f>
        <v>590.75</v>
      </c>
      <c r="K132" s="18" t="n">
        <v>0.43</v>
      </c>
    </row>
    <row r="133" customFormat="false" ht="15" hidden="false" customHeight="true" outlineLevel="0" collapsed="false">
      <c r="A133" s="1" t="s">
        <v>206</v>
      </c>
      <c r="B133" s="16" t="n">
        <v>45348</v>
      </c>
      <c r="C133" s="1" t="s">
        <v>117</v>
      </c>
      <c r="D133" s="1" t="s">
        <v>17</v>
      </c>
      <c r="E133" s="1" t="s">
        <v>44</v>
      </c>
      <c r="F133" s="1" t="s">
        <v>16</v>
      </c>
      <c r="G133" s="1" t="n">
        <v>13</v>
      </c>
      <c r="H133" s="17" t="n">
        <v>2295.09</v>
      </c>
      <c r="I133" s="18" t="n">
        <v>0.04</v>
      </c>
      <c r="J133" s="17" t="n">
        <f aca="false">G133*H133*(1-I133)</f>
        <v>28642.7232</v>
      </c>
      <c r="K133" s="18" t="n">
        <v>0.29</v>
      </c>
    </row>
    <row r="134" customFormat="false" ht="15" hidden="false" customHeight="true" outlineLevel="0" collapsed="false">
      <c r="A134" s="1" t="s">
        <v>207</v>
      </c>
      <c r="B134" s="16" t="n">
        <v>45397</v>
      </c>
      <c r="C134" s="1" t="s">
        <v>77</v>
      </c>
      <c r="D134" s="1" t="s">
        <v>17</v>
      </c>
      <c r="E134" s="1" t="s">
        <v>50</v>
      </c>
      <c r="F134" s="1" t="s">
        <v>22</v>
      </c>
      <c r="G134" s="1" t="n">
        <v>15</v>
      </c>
      <c r="H134" s="17" t="n">
        <v>54.63</v>
      </c>
      <c r="I134" s="18" t="n">
        <v>0.27</v>
      </c>
      <c r="J134" s="17" t="n">
        <f aca="false">G134*H134*(1-I134)</f>
        <v>598.1985</v>
      </c>
      <c r="K134" s="18" t="n">
        <v>0.39</v>
      </c>
    </row>
    <row r="135" customFormat="false" ht="15" hidden="false" customHeight="true" outlineLevel="0" collapsed="false">
      <c r="A135" s="1" t="s">
        <v>208</v>
      </c>
      <c r="B135" s="16" t="n">
        <v>45438</v>
      </c>
      <c r="C135" s="1" t="s">
        <v>73</v>
      </c>
      <c r="D135" s="1" t="s">
        <v>13</v>
      </c>
      <c r="E135" s="1" t="s">
        <v>40</v>
      </c>
      <c r="F135" s="1" t="s">
        <v>14</v>
      </c>
      <c r="G135" s="1" t="n">
        <v>3</v>
      </c>
      <c r="H135" s="17" t="n">
        <v>1559.37</v>
      </c>
      <c r="I135" s="18" t="n">
        <v>0.23</v>
      </c>
      <c r="J135" s="17" t="n">
        <f aca="false">G135*H135*(1-I135)</f>
        <v>3602.1447</v>
      </c>
      <c r="K135" s="18" t="n">
        <v>0.17</v>
      </c>
    </row>
    <row r="136" customFormat="false" ht="15" hidden="false" customHeight="true" outlineLevel="0" collapsed="false">
      <c r="A136" s="1" t="s">
        <v>209</v>
      </c>
      <c r="B136" s="16" t="n">
        <v>45562</v>
      </c>
      <c r="C136" s="1" t="s">
        <v>66</v>
      </c>
      <c r="D136" s="1" t="s">
        <v>19</v>
      </c>
      <c r="E136" s="1" t="s">
        <v>44</v>
      </c>
      <c r="F136" s="1" t="s">
        <v>18</v>
      </c>
      <c r="G136" s="1" t="n">
        <v>17</v>
      </c>
      <c r="H136" s="17" t="n">
        <v>550.11</v>
      </c>
      <c r="I136" s="18" t="n">
        <v>0.17</v>
      </c>
      <c r="J136" s="17" t="n">
        <f aca="false">G136*H136*(1-I136)</f>
        <v>7762.0521</v>
      </c>
      <c r="K136" s="18" t="n">
        <v>0.18</v>
      </c>
    </row>
    <row r="137" customFormat="false" ht="15" hidden="false" customHeight="true" outlineLevel="0" collapsed="false">
      <c r="A137" s="1" t="s">
        <v>210</v>
      </c>
      <c r="B137" s="16" t="n">
        <v>45326</v>
      </c>
      <c r="C137" s="1" t="s">
        <v>93</v>
      </c>
      <c r="D137" s="1" t="s">
        <v>19</v>
      </c>
      <c r="E137" s="1" t="s">
        <v>48</v>
      </c>
      <c r="F137" s="1" t="s">
        <v>18</v>
      </c>
      <c r="G137" s="1" t="n">
        <v>16</v>
      </c>
      <c r="H137" s="17" t="n">
        <v>1512.05</v>
      </c>
      <c r="I137" s="18" t="n">
        <v>0.11</v>
      </c>
      <c r="J137" s="17" t="n">
        <f aca="false">G137*H137*(1-I137)</f>
        <v>21531.592</v>
      </c>
      <c r="K137" s="18" t="n">
        <v>0.33</v>
      </c>
    </row>
    <row r="138" customFormat="false" ht="15" hidden="false" customHeight="true" outlineLevel="0" collapsed="false">
      <c r="A138" s="1" t="s">
        <v>211</v>
      </c>
      <c r="B138" s="16" t="n">
        <v>45377</v>
      </c>
      <c r="C138" s="1" t="s">
        <v>88</v>
      </c>
      <c r="D138" s="1" t="s">
        <v>19</v>
      </c>
      <c r="E138" s="1" t="s">
        <v>48</v>
      </c>
      <c r="F138" s="1" t="s">
        <v>16</v>
      </c>
      <c r="G138" s="1" t="n">
        <v>11</v>
      </c>
      <c r="H138" s="17" t="n">
        <v>1510.9</v>
      </c>
      <c r="I138" s="18" t="n">
        <v>0.02</v>
      </c>
      <c r="J138" s="17" t="n">
        <f aca="false">G138*H138*(1-I138)</f>
        <v>16287.502</v>
      </c>
      <c r="K138" s="18" t="n">
        <v>0.28</v>
      </c>
    </row>
    <row r="139" customFormat="false" ht="15" hidden="false" customHeight="true" outlineLevel="0" collapsed="false">
      <c r="A139" s="1" t="s">
        <v>212</v>
      </c>
      <c r="B139" s="16" t="n">
        <v>45608</v>
      </c>
      <c r="C139" s="1" t="s">
        <v>73</v>
      </c>
      <c r="D139" s="1" t="s">
        <v>19</v>
      </c>
      <c r="E139" s="1" t="s">
        <v>32</v>
      </c>
      <c r="F139" s="1" t="s">
        <v>22</v>
      </c>
      <c r="G139" s="1" t="n">
        <v>1</v>
      </c>
      <c r="H139" s="17" t="n">
        <v>1999.98</v>
      </c>
      <c r="I139" s="18" t="n">
        <v>0.19</v>
      </c>
      <c r="J139" s="17" t="n">
        <f aca="false">G139*H139*(1-I139)</f>
        <v>1619.9838</v>
      </c>
      <c r="K139" s="18" t="n">
        <v>0.16</v>
      </c>
    </row>
    <row r="140" customFormat="false" ht="15" hidden="false" customHeight="true" outlineLevel="0" collapsed="false">
      <c r="A140" s="1" t="s">
        <v>213</v>
      </c>
      <c r="B140" s="16" t="n">
        <v>45527</v>
      </c>
      <c r="C140" s="1" t="s">
        <v>117</v>
      </c>
      <c r="D140" s="1" t="s">
        <v>13</v>
      </c>
      <c r="E140" s="1" t="s">
        <v>48</v>
      </c>
      <c r="F140" s="1" t="s">
        <v>20</v>
      </c>
      <c r="G140" s="1" t="n">
        <v>3</v>
      </c>
      <c r="H140" s="17" t="n">
        <v>1447.2</v>
      </c>
      <c r="I140" s="18" t="n">
        <v>0.06</v>
      </c>
      <c r="J140" s="17" t="n">
        <f aca="false">G140*H140*(1-I140)</f>
        <v>4081.104</v>
      </c>
      <c r="K140" s="18" t="n">
        <v>0.41</v>
      </c>
    </row>
    <row r="141" customFormat="false" ht="15" hidden="false" customHeight="true" outlineLevel="0" collapsed="false">
      <c r="A141" s="1" t="s">
        <v>214</v>
      </c>
      <c r="B141" s="16" t="n">
        <v>45559</v>
      </c>
      <c r="C141" s="1" t="s">
        <v>77</v>
      </c>
      <c r="D141" s="1" t="s">
        <v>13</v>
      </c>
      <c r="E141" s="1" t="s">
        <v>34</v>
      </c>
      <c r="F141" s="1" t="s">
        <v>20</v>
      </c>
      <c r="G141" s="1" t="n">
        <v>14</v>
      </c>
      <c r="H141" s="17" t="n">
        <v>118.74</v>
      </c>
      <c r="I141" s="18" t="n">
        <v>0.15</v>
      </c>
      <c r="J141" s="17" t="n">
        <f aca="false">G141*H141*(1-I141)</f>
        <v>1413.006</v>
      </c>
      <c r="K141" s="18" t="n">
        <v>0.17</v>
      </c>
    </row>
    <row r="142" customFormat="false" ht="15" hidden="false" customHeight="true" outlineLevel="0" collapsed="false">
      <c r="A142" s="1" t="s">
        <v>215</v>
      </c>
      <c r="B142" s="16" t="n">
        <v>45591</v>
      </c>
      <c r="C142" s="1" t="s">
        <v>95</v>
      </c>
      <c r="D142" s="1" t="s">
        <v>15</v>
      </c>
      <c r="E142" s="1" t="s">
        <v>34</v>
      </c>
      <c r="F142" s="1" t="s">
        <v>22</v>
      </c>
      <c r="G142" s="1" t="n">
        <v>12</v>
      </c>
      <c r="H142" s="17" t="n">
        <v>1745.9</v>
      </c>
      <c r="I142" s="18" t="n">
        <v>0.24</v>
      </c>
      <c r="J142" s="17" t="n">
        <f aca="false">G142*H142*(1-I142)</f>
        <v>15922.608</v>
      </c>
      <c r="K142" s="18" t="n">
        <v>0.25</v>
      </c>
    </row>
    <row r="143" customFormat="false" ht="15" hidden="false" customHeight="true" outlineLevel="0" collapsed="false">
      <c r="A143" s="1" t="s">
        <v>216</v>
      </c>
      <c r="B143" s="16" t="n">
        <v>45393</v>
      </c>
      <c r="C143" s="1" t="s">
        <v>77</v>
      </c>
      <c r="D143" s="1" t="s">
        <v>21</v>
      </c>
      <c r="E143" s="1" t="s">
        <v>40</v>
      </c>
      <c r="F143" s="1" t="s">
        <v>20</v>
      </c>
      <c r="G143" s="1" t="n">
        <v>2</v>
      </c>
      <c r="H143" s="17" t="n">
        <v>661.25</v>
      </c>
      <c r="I143" s="18" t="n">
        <v>0.2</v>
      </c>
      <c r="J143" s="17" t="n">
        <f aca="false">G143*H143*(1-I143)</f>
        <v>1058</v>
      </c>
      <c r="K143" s="18" t="n">
        <v>0.18</v>
      </c>
    </row>
    <row r="144" customFormat="false" ht="15" hidden="false" customHeight="true" outlineLevel="0" collapsed="false">
      <c r="A144" s="1" t="s">
        <v>217</v>
      </c>
      <c r="B144" s="16" t="n">
        <v>45498</v>
      </c>
      <c r="C144" s="1" t="s">
        <v>93</v>
      </c>
      <c r="D144" s="1" t="s">
        <v>13</v>
      </c>
      <c r="E144" s="1" t="s">
        <v>44</v>
      </c>
      <c r="F144" s="1" t="s">
        <v>22</v>
      </c>
      <c r="G144" s="1" t="n">
        <v>1</v>
      </c>
      <c r="H144" s="17" t="n">
        <v>1227.38</v>
      </c>
      <c r="I144" s="18" t="n">
        <v>0.2</v>
      </c>
      <c r="J144" s="17" t="n">
        <f aca="false">G144*H144*(1-I144)</f>
        <v>981.904</v>
      </c>
      <c r="K144" s="18" t="n">
        <v>0.17</v>
      </c>
    </row>
    <row r="145" customFormat="false" ht="15" hidden="false" customHeight="true" outlineLevel="0" collapsed="false">
      <c r="A145" s="1" t="s">
        <v>218</v>
      </c>
      <c r="B145" s="16" t="n">
        <v>45633</v>
      </c>
      <c r="C145" s="1" t="s">
        <v>64</v>
      </c>
      <c r="D145" s="1" t="s">
        <v>19</v>
      </c>
      <c r="E145" s="1" t="s">
        <v>48</v>
      </c>
      <c r="F145" s="1" t="s">
        <v>16</v>
      </c>
      <c r="G145" s="1" t="n">
        <v>15</v>
      </c>
      <c r="H145" s="17" t="n">
        <v>1984.63</v>
      </c>
      <c r="I145" s="18" t="n">
        <v>0.03</v>
      </c>
      <c r="J145" s="17" t="n">
        <f aca="false">G145*H145*(1-I145)</f>
        <v>28876.3665</v>
      </c>
      <c r="K145" s="18" t="n">
        <v>0.43</v>
      </c>
    </row>
    <row r="146" customFormat="false" ht="15" hidden="false" customHeight="true" outlineLevel="0" collapsed="false">
      <c r="A146" s="1" t="s">
        <v>219</v>
      </c>
      <c r="B146" s="16" t="n">
        <v>45504</v>
      </c>
      <c r="C146" s="1" t="s">
        <v>66</v>
      </c>
      <c r="D146" s="1" t="s">
        <v>15</v>
      </c>
      <c r="E146" s="1" t="s">
        <v>42</v>
      </c>
      <c r="F146" s="1" t="s">
        <v>18</v>
      </c>
      <c r="G146" s="1" t="n">
        <v>8</v>
      </c>
      <c r="H146" s="17" t="n">
        <v>2210.41</v>
      </c>
      <c r="I146" s="18" t="n">
        <v>0.24</v>
      </c>
      <c r="J146" s="17" t="n">
        <f aca="false">G146*H146*(1-I146)</f>
        <v>13439.2928</v>
      </c>
      <c r="K146" s="18" t="n">
        <v>0.2</v>
      </c>
    </row>
    <row r="147" customFormat="false" ht="15" hidden="false" customHeight="true" outlineLevel="0" collapsed="false">
      <c r="A147" s="1" t="s">
        <v>220</v>
      </c>
      <c r="B147" s="16" t="n">
        <v>45609</v>
      </c>
      <c r="C147" s="1" t="s">
        <v>93</v>
      </c>
      <c r="D147" s="1" t="s">
        <v>15</v>
      </c>
      <c r="E147" s="1" t="s">
        <v>32</v>
      </c>
      <c r="F147" s="1" t="s">
        <v>20</v>
      </c>
      <c r="G147" s="1" t="n">
        <v>10</v>
      </c>
      <c r="H147" s="17" t="n">
        <v>1036.24</v>
      </c>
      <c r="I147" s="18" t="n">
        <v>0.12</v>
      </c>
      <c r="J147" s="17" t="n">
        <f aca="false">G147*H147*(1-I147)</f>
        <v>9118.912</v>
      </c>
      <c r="K147" s="18" t="n">
        <v>0.4</v>
      </c>
    </row>
    <row r="148" customFormat="false" ht="15" hidden="false" customHeight="true" outlineLevel="0" collapsed="false">
      <c r="A148" s="1" t="s">
        <v>221</v>
      </c>
      <c r="B148" s="16" t="n">
        <v>45308</v>
      </c>
      <c r="C148" s="1" t="s">
        <v>117</v>
      </c>
      <c r="D148" s="1" t="s">
        <v>21</v>
      </c>
      <c r="E148" s="1" t="s">
        <v>34</v>
      </c>
      <c r="F148" s="1" t="s">
        <v>20</v>
      </c>
      <c r="G148" s="1" t="n">
        <v>19</v>
      </c>
      <c r="H148" s="17" t="n">
        <v>1259</v>
      </c>
      <c r="I148" s="18" t="n">
        <v>0.02</v>
      </c>
      <c r="J148" s="17" t="n">
        <f aca="false">G148*H148*(1-I148)</f>
        <v>23442.58</v>
      </c>
      <c r="K148" s="18" t="n">
        <v>0.3</v>
      </c>
    </row>
    <row r="149" customFormat="false" ht="15" hidden="false" customHeight="true" outlineLevel="0" collapsed="false">
      <c r="A149" s="1" t="s">
        <v>222</v>
      </c>
      <c r="B149" s="16" t="n">
        <v>45302</v>
      </c>
      <c r="C149" s="1" t="s">
        <v>117</v>
      </c>
      <c r="D149" s="1" t="s">
        <v>17</v>
      </c>
      <c r="E149" s="1" t="s">
        <v>50</v>
      </c>
      <c r="F149" s="1" t="s">
        <v>16</v>
      </c>
      <c r="G149" s="1" t="n">
        <v>17</v>
      </c>
      <c r="H149" s="17" t="n">
        <v>1148.25</v>
      </c>
      <c r="I149" s="18" t="n">
        <v>0.3</v>
      </c>
      <c r="J149" s="17" t="n">
        <f aca="false">G149*H149*(1-I149)</f>
        <v>13664.175</v>
      </c>
      <c r="K149" s="18" t="n">
        <v>0.3</v>
      </c>
    </row>
    <row r="150" customFormat="false" ht="15" hidden="false" customHeight="true" outlineLevel="0" collapsed="false">
      <c r="A150" s="1" t="s">
        <v>223</v>
      </c>
      <c r="B150" s="16" t="n">
        <v>45362</v>
      </c>
      <c r="C150" s="1" t="s">
        <v>93</v>
      </c>
      <c r="D150" s="1" t="s">
        <v>15</v>
      </c>
      <c r="E150" s="1" t="s">
        <v>38</v>
      </c>
      <c r="F150" s="1" t="s">
        <v>16</v>
      </c>
      <c r="G150" s="1" t="n">
        <v>6</v>
      </c>
      <c r="H150" s="17" t="n">
        <v>2356.67</v>
      </c>
      <c r="I150" s="18" t="n">
        <v>0</v>
      </c>
      <c r="J150" s="17" t="n">
        <f aca="false">G150*H150*(1-I150)</f>
        <v>14140.02</v>
      </c>
      <c r="K150" s="18" t="n">
        <v>0.27</v>
      </c>
    </row>
    <row r="151" customFormat="false" ht="15" hidden="false" customHeight="true" outlineLevel="0" collapsed="false">
      <c r="A151" s="1" t="s">
        <v>224</v>
      </c>
      <c r="B151" s="16" t="n">
        <v>45556</v>
      </c>
      <c r="C151" s="1" t="s">
        <v>77</v>
      </c>
      <c r="D151" s="1" t="s">
        <v>15</v>
      </c>
      <c r="E151" s="1" t="s">
        <v>38</v>
      </c>
      <c r="F151" s="1" t="s">
        <v>16</v>
      </c>
      <c r="G151" s="1" t="n">
        <v>16</v>
      </c>
      <c r="H151" s="17" t="n">
        <v>2314.53</v>
      </c>
      <c r="I151" s="18" t="n">
        <v>0.3</v>
      </c>
      <c r="J151" s="17" t="n">
        <f aca="false">G151*H151*(1-I151)</f>
        <v>25922.736</v>
      </c>
      <c r="K151" s="18" t="n">
        <v>0.32</v>
      </c>
    </row>
    <row r="152" customFormat="false" ht="15" hidden="false" customHeight="true" outlineLevel="0" collapsed="false">
      <c r="A152" s="1" t="s">
        <v>225</v>
      </c>
      <c r="B152" s="16" t="n">
        <v>45421</v>
      </c>
      <c r="C152" s="1" t="s">
        <v>73</v>
      </c>
      <c r="D152" s="1" t="s">
        <v>19</v>
      </c>
      <c r="E152" s="1" t="s">
        <v>32</v>
      </c>
      <c r="F152" s="1" t="s">
        <v>20</v>
      </c>
      <c r="G152" s="1" t="n">
        <v>12</v>
      </c>
      <c r="H152" s="17" t="n">
        <v>1752.5</v>
      </c>
      <c r="I152" s="18" t="n">
        <v>0.29</v>
      </c>
      <c r="J152" s="17" t="n">
        <f aca="false">G152*H152*(1-I152)</f>
        <v>14931.3</v>
      </c>
      <c r="K152" s="18" t="n">
        <v>0.22</v>
      </c>
    </row>
    <row r="153" customFormat="false" ht="15" hidden="false" customHeight="true" outlineLevel="0" collapsed="false">
      <c r="A153" s="1" t="s">
        <v>226</v>
      </c>
      <c r="B153" s="16" t="n">
        <v>45447</v>
      </c>
      <c r="C153" s="1" t="s">
        <v>81</v>
      </c>
      <c r="D153" s="1" t="s">
        <v>15</v>
      </c>
      <c r="E153" s="1" t="s">
        <v>34</v>
      </c>
      <c r="F153" s="1" t="s">
        <v>18</v>
      </c>
      <c r="G153" s="1" t="n">
        <v>14</v>
      </c>
      <c r="H153" s="17" t="n">
        <v>1571.65</v>
      </c>
      <c r="I153" s="18" t="n">
        <v>0.22</v>
      </c>
      <c r="J153" s="17" t="n">
        <f aca="false">G153*H153*(1-I153)</f>
        <v>17162.418</v>
      </c>
      <c r="K153" s="18" t="n">
        <v>0.25</v>
      </c>
    </row>
    <row r="154" customFormat="false" ht="15" hidden="false" customHeight="true" outlineLevel="0" collapsed="false">
      <c r="A154" s="1" t="s">
        <v>227</v>
      </c>
      <c r="B154" s="16" t="n">
        <v>45307</v>
      </c>
      <c r="C154" s="1" t="s">
        <v>77</v>
      </c>
      <c r="D154" s="1" t="s">
        <v>15</v>
      </c>
      <c r="E154" s="1" t="s">
        <v>40</v>
      </c>
      <c r="F154" s="1" t="s">
        <v>22</v>
      </c>
      <c r="G154" s="1" t="n">
        <v>8</v>
      </c>
      <c r="H154" s="17" t="n">
        <v>433.11</v>
      </c>
      <c r="I154" s="18" t="n">
        <v>0.17</v>
      </c>
      <c r="J154" s="17" t="n">
        <f aca="false">G154*H154*(1-I154)</f>
        <v>2875.8504</v>
      </c>
      <c r="K154" s="18" t="n">
        <v>0.38</v>
      </c>
    </row>
    <row r="155" customFormat="false" ht="15" hidden="false" customHeight="true" outlineLevel="0" collapsed="false">
      <c r="A155" s="1" t="s">
        <v>228</v>
      </c>
      <c r="B155" s="16" t="n">
        <v>45293</v>
      </c>
      <c r="C155" s="1" t="s">
        <v>81</v>
      </c>
      <c r="D155" s="1" t="s">
        <v>21</v>
      </c>
      <c r="E155" s="1" t="s">
        <v>32</v>
      </c>
      <c r="F155" s="1" t="s">
        <v>22</v>
      </c>
      <c r="G155" s="1" t="n">
        <v>7</v>
      </c>
      <c r="H155" s="17" t="n">
        <v>323.17</v>
      </c>
      <c r="I155" s="18" t="n">
        <v>0.1</v>
      </c>
      <c r="J155" s="17" t="n">
        <f aca="false">G155*H155*(1-I155)</f>
        <v>2035.971</v>
      </c>
      <c r="K155" s="18" t="n">
        <v>0.38</v>
      </c>
    </row>
    <row r="156" customFormat="false" ht="15" hidden="false" customHeight="true" outlineLevel="0" collapsed="false">
      <c r="A156" s="1" t="s">
        <v>229</v>
      </c>
      <c r="B156" s="16" t="n">
        <v>45444</v>
      </c>
      <c r="C156" s="1" t="s">
        <v>69</v>
      </c>
      <c r="D156" s="1" t="s">
        <v>17</v>
      </c>
      <c r="E156" s="1" t="s">
        <v>46</v>
      </c>
      <c r="F156" s="1" t="s">
        <v>22</v>
      </c>
      <c r="G156" s="1" t="n">
        <v>13</v>
      </c>
      <c r="H156" s="17" t="n">
        <v>832.96</v>
      </c>
      <c r="I156" s="18" t="n">
        <v>0.23</v>
      </c>
      <c r="J156" s="17" t="n">
        <f aca="false">G156*H156*(1-I156)</f>
        <v>8337.9296</v>
      </c>
      <c r="K156" s="18" t="n">
        <v>0.37</v>
      </c>
    </row>
    <row r="157" customFormat="false" ht="15" hidden="false" customHeight="true" outlineLevel="0" collapsed="false">
      <c r="A157" s="1" t="s">
        <v>230</v>
      </c>
      <c r="B157" s="16" t="n">
        <v>45309</v>
      </c>
      <c r="C157" s="1" t="s">
        <v>64</v>
      </c>
      <c r="D157" s="1" t="s">
        <v>17</v>
      </c>
      <c r="E157" s="1" t="s">
        <v>46</v>
      </c>
      <c r="F157" s="1" t="s">
        <v>14</v>
      </c>
      <c r="G157" s="1" t="n">
        <v>12</v>
      </c>
      <c r="H157" s="17" t="n">
        <v>446</v>
      </c>
      <c r="I157" s="18" t="n">
        <v>0.11</v>
      </c>
      <c r="J157" s="17" t="n">
        <f aca="false">G157*H157*(1-I157)</f>
        <v>4763.28</v>
      </c>
      <c r="K157" s="18" t="n">
        <v>0.26</v>
      </c>
    </row>
    <row r="158" customFormat="false" ht="15" hidden="false" customHeight="true" outlineLevel="0" collapsed="false">
      <c r="A158" s="1" t="s">
        <v>231</v>
      </c>
      <c r="B158" s="16" t="n">
        <v>45378</v>
      </c>
      <c r="C158" s="1" t="s">
        <v>93</v>
      </c>
      <c r="D158" s="1" t="s">
        <v>21</v>
      </c>
      <c r="E158" s="1" t="s">
        <v>44</v>
      </c>
      <c r="F158" s="1" t="s">
        <v>20</v>
      </c>
      <c r="G158" s="1" t="n">
        <v>6</v>
      </c>
      <c r="H158" s="17" t="n">
        <v>1148.94</v>
      </c>
      <c r="I158" s="18" t="n">
        <v>0.23</v>
      </c>
      <c r="J158" s="17" t="n">
        <f aca="false">G158*H158*(1-I158)</f>
        <v>5308.1028</v>
      </c>
      <c r="K158" s="18" t="n">
        <v>0.44</v>
      </c>
    </row>
    <row r="159" customFormat="false" ht="15" hidden="false" customHeight="true" outlineLevel="0" collapsed="false">
      <c r="A159" s="1" t="s">
        <v>232</v>
      </c>
      <c r="B159" s="16" t="n">
        <v>45380</v>
      </c>
      <c r="C159" s="1" t="s">
        <v>85</v>
      </c>
      <c r="D159" s="1" t="s">
        <v>21</v>
      </c>
      <c r="E159" s="1" t="s">
        <v>44</v>
      </c>
      <c r="F159" s="1" t="s">
        <v>20</v>
      </c>
      <c r="G159" s="1" t="n">
        <v>2</v>
      </c>
      <c r="H159" s="17" t="n">
        <v>377.03</v>
      </c>
      <c r="I159" s="18" t="n">
        <v>0.16</v>
      </c>
      <c r="J159" s="17" t="n">
        <f aca="false">G159*H159*(1-I159)</f>
        <v>633.4104</v>
      </c>
      <c r="K159" s="18" t="n">
        <v>0.21</v>
      </c>
    </row>
    <row r="160" customFormat="false" ht="15" hidden="false" customHeight="true" outlineLevel="0" collapsed="false">
      <c r="A160" s="1" t="s">
        <v>233</v>
      </c>
      <c r="B160" s="16" t="n">
        <v>45482</v>
      </c>
      <c r="C160" s="1" t="s">
        <v>66</v>
      </c>
      <c r="D160" s="1" t="s">
        <v>15</v>
      </c>
      <c r="E160" s="1" t="s">
        <v>34</v>
      </c>
      <c r="F160" s="1" t="s">
        <v>20</v>
      </c>
      <c r="G160" s="1" t="n">
        <v>11</v>
      </c>
      <c r="H160" s="17" t="n">
        <v>865.35</v>
      </c>
      <c r="I160" s="18" t="n">
        <v>0.18</v>
      </c>
      <c r="J160" s="17" t="n">
        <f aca="false">G160*H160*(1-I160)</f>
        <v>7805.457</v>
      </c>
      <c r="K160" s="18" t="n">
        <v>0.33</v>
      </c>
    </row>
    <row r="161" customFormat="false" ht="15" hidden="false" customHeight="true" outlineLevel="0" collapsed="false">
      <c r="A161" s="1" t="s">
        <v>234</v>
      </c>
      <c r="B161" s="16" t="n">
        <v>45568</v>
      </c>
      <c r="C161" s="1" t="s">
        <v>77</v>
      </c>
      <c r="D161" s="1" t="s">
        <v>19</v>
      </c>
      <c r="E161" s="1" t="s">
        <v>38</v>
      </c>
      <c r="F161" s="1" t="s">
        <v>16</v>
      </c>
      <c r="G161" s="1" t="n">
        <v>5</v>
      </c>
      <c r="H161" s="17" t="n">
        <v>860.3</v>
      </c>
      <c r="I161" s="18" t="n">
        <v>0.2</v>
      </c>
      <c r="J161" s="17" t="n">
        <f aca="false">G161*H161*(1-I161)</f>
        <v>3441.2</v>
      </c>
      <c r="K161" s="18" t="n">
        <v>0.3</v>
      </c>
    </row>
    <row r="162" customFormat="false" ht="15" hidden="false" customHeight="true" outlineLevel="0" collapsed="false">
      <c r="A162" s="1" t="s">
        <v>235</v>
      </c>
      <c r="B162" s="16" t="n">
        <v>45380</v>
      </c>
      <c r="C162" s="1" t="s">
        <v>64</v>
      </c>
      <c r="D162" s="1" t="s">
        <v>21</v>
      </c>
      <c r="E162" s="1" t="s">
        <v>46</v>
      </c>
      <c r="F162" s="1" t="s">
        <v>14</v>
      </c>
      <c r="G162" s="1" t="n">
        <v>13</v>
      </c>
      <c r="H162" s="17" t="n">
        <v>1057.68</v>
      </c>
      <c r="I162" s="18" t="n">
        <v>0.07</v>
      </c>
      <c r="J162" s="17" t="n">
        <f aca="false">G162*H162*(1-I162)</f>
        <v>12787.3512</v>
      </c>
      <c r="K162" s="18" t="n">
        <v>0.36</v>
      </c>
    </row>
    <row r="163" customFormat="false" ht="15" hidden="false" customHeight="true" outlineLevel="0" collapsed="false">
      <c r="A163" s="1" t="s">
        <v>236</v>
      </c>
      <c r="B163" s="16" t="n">
        <v>45362</v>
      </c>
      <c r="C163" s="1" t="s">
        <v>71</v>
      </c>
      <c r="D163" s="1" t="s">
        <v>17</v>
      </c>
      <c r="E163" s="1" t="s">
        <v>50</v>
      </c>
      <c r="F163" s="1" t="s">
        <v>14</v>
      </c>
      <c r="G163" s="1" t="n">
        <v>17</v>
      </c>
      <c r="H163" s="17" t="n">
        <v>1836.39</v>
      </c>
      <c r="I163" s="18" t="n">
        <v>0.29</v>
      </c>
      <c r="J163" s="17" t="n">
        <f aca="false">G163*H163*(1-I163)</f>
        <v>22165.2273</v>
      </c>
      <c r="K163" s="18" t="n">
        <v>0.32</v>
      </c>
    </row>
    <row r="164" customFormat="false" ht="15" hidden="false" customHeight="true" outlineLevel="0" collapsed="false">
      <c r="A164" s="1" t="s">
        <v>237</v>
      </c>
      <c r="B164" s="16" t="n">
        <v>45653</v>
      </c>
      <c r="C164" s="1" t="s">
        <v>69</v>
      </c>
      <c r="D164" s="1" t="s">
        <v>19</v>
      </c>
      <c r="E164" s="1" t="s">
        <v>40</v>
      </c>
      <c r="F164" s="1" t="s">
        <v>18</v>
      </c>
      <c r="G164" s="1" t="n">
        <v>17</v>
      </c>
      <c r="H164" s="17" t="n">
        <v>1552.16</v>
      </c>
      <c r="I164" s="18" t="n">
        <v>0.04</v>
      </c>
      <c r="J164" s="17" t="n">
        <f aca="false">G164*H164*(1-I164)</f>
        <v>25331.2512</v>
      </c>
      <c r="K164" s="18" t="n">
        <v>0.36</v>
      </c>
    </row>
    <row r="165" customFormat="false" ht="15" hidden="false" customHeight="true" outlineLevel="0" collapsed="false">
      <c r="A165" s="1" t="s">
        <v>238</v>
      </c>
      <c r="B165" s="16" t="n">
        <v>45645</v>
      </c>
      <c r="C165" s="1" t="s">
        <v>69</v>
      </c>
      <c r="D165" s="1" t="s">
        <v>17</v>
      </c>
      <c r="E165" s="1" t="s">
        <v>48</v>
      </c>
      <c r="F165" s="1" t="s">
        <v>20</v>
      </c>
      <c r="G165" s="1" t="n">
        <v>15</v>
      </c>
      <c r="H165" s="17" t="n">
        <v>364.41</v>
      </c>
      <c r="I165" s="18" t="n">
        <v>0.21</v>
      </c>
      <c r="J165" s="17" t="n">
        <f aca="false">G165*H165*(1-I165)</f>
        <v>4318.2585</v>
      </c>
      <c r="K165" s="18" t="n">
        <v>0.16</v>
      </c>
    </row>
    <row r="166" customFormat="false" ht="15" hidden="false" customHeight="true" outlineLevel="0" collapsed="false">
      <c r="A166" s="1" t="s">
        <v>239</v>
      </c>
      <c r="B166" s="16" t="n">
        <v>45649</v>
      </c>
      <c r="C166" s="1" t="s">
        <v>117</v>
      </c>
      <c r="D166" s="1" t="s">
        <v>19</v>
      </c>
      <c r="E166" s="1" t="s">
        <v>44</v>
      </c>
      <c r="F166" s="1" t="s">
        <v>20</v>
      </c>
      <c r="G166" s="1" t="n">
        <v>18</v>
      </c>
      <c r="H166" s="17" t="n">
        <v>996.51</v>
      </c>
      <c r="I166" s="18" t="n">
        <v>0.01</v>
      </c>
      <c r="J166" s="17" t="n">
        <f aca="false">G166*H166*(1-I166)</f>
        <v>17757.8082</v>
      </c>
      <c r="K166" s="18" t="n">
        <v>0.2</v>
      </c>
    </row>
    <row r="167" customFormat="false" ht="15" hidden="false" customHeight="true" outlineLevel="0" collapsed="false">
      <c r="A167" s="1" t="s">
        <v>240</v>
      </c>
      <c r="B167" s="16" t="n">
        <v>45603</v>
      </c>
      <c r="C167" s="1" t="s">
        <v>77</v>
      </c>
      <c r="D167" s="1" t="s">
        <v>21</v>
      </c>
      <c r="E167" s="1" t="s">
        <v>32</v>
      </c>
      <c r="F167" s="1" t="s">
        <v>16</v>
      </c>
      <c r="G167" s="1" t="n">
        <v>2</v>
      </c>
      <c r="H167" s="17" t="n">
        <v>2403.43</v>
      </c>
      <c r="I167" s="18" t="n">
        <v>0.23</v>
      </c>
      <c r="J167" s="17" t="n">
        <f aca="false">G167*H167*(1-I167)</f>
        <v>3701.2822</v>
      </c>
      <c r="K167" s="18" t="n">
        <v>0.19</v>
      </c>
    </row>
    <row r="168" customFormat="false" ht="15" hidden="false" customHeight="true" outlineLevel="0" collapsed="false">
      <c r="A168" s="1" t="s">
        <v>241</v>
      </c>
      <c r="B168" s="16" t="n">
        <v>45323</v>
      </c>
      <c r="C168" s="1" t="s">
        <v>73</v>
      </c>
      <c r="D168" s="1" t="s">
        <v>21</v>
      </c>
      <c r="E168" s="1" t="s">
        <v>48</v>
      </c>
      <c r="F168" s="1" t="s">
        <v>16</v>
      </c>
      <c r="G168" s="1" t="n">
        <v>18</v>
      </c>
      <c r="H168" s="17" t="n">
        <v>258.82</v>
      </c>
      <c r="I168" s="18" t="n">
        <v>0.18</v>
      </c>
      <c r="J168" s="17" t="n">
        <f aca="false">G168*H168*(1-I168)</f>
        <v>3820.1832</v>
      </c>
      <c r="K168" s="18" t="n">
        <v>0.16</v>
      </c>
    </row>
    <row r="169" customFormat="false" ht="15" hidden="false" customHeight="true" outlineLevel="0" collapsed="false">
      <c r="A169" s="1" t="s">
        <v>242</v>
      </c>
      <c r="B169" s="16" t="n">
        <v>45493</v>
      </c>
      <c r="C169" s="1" t="s">
        <v>117</v>
      </c>
      <c r="D169" s="1" t="s">
        <v>15</v>
      </c>
      <c r="E169" s="1" t="s">
        <v>34</v>
      </c>
      <c r="F169" s="1" t="s">
        <v>16</v>
      </c>
      <c r="G169" s="1" t="n">
        <v>9</v>
      </c>
      <c r="H169" s="17" t="n">
        <v>1619.38</v>
      </c>
      <c r="I169" s="18" t="n">
        <v>0.29</v>
      </c>
      <c r="J169" s="17" t="n">
        <f aca="false">G169*H169*(1-I169)</f>
        <v>10347.8382</v>
      </c>
      <c r="K169" s="18" t="n">
        <v>0.31</v>
      </c>
    </row>
    <row r="170" customFormat="false" ht="15" hidden="false" customHeight="true" outlineLevel="0" collapsed="false">
      <c r="A170" s="1" t="s">
        <v>243</v>
      </c>
      <c r="B170" s="16" t="n">
        <v>45575</v>
      </c>
      <c r="C170" s="1" t="s">
        <v>77</v>
      </c>
      <c r="D170" s="1" t="s">
        <v>15</v>
      </c>
      <c r="E170" s="1" t="s">
        <v>36</v>
      </c>
      <c r="F170" s="1" t="s">
        <v>20</v>
      </c>
      <c r="G170" s="1" t="n">
        <v>17</v>
      </c>
      <c r="H170" s="17" t="n">
        <v>2492.13</v>
      </c>
      <c r="I170" s="18" t="n">
        <v>0.12</v>
      </c>
      <c r="J170" s="17" t="n">
        <f aca="false">G170*H170*(1-I170)</f>
        <v>37282.2648</v>
      </c>
      <c r="K170" s="18" t="n">
        <v>0.43</v>
      </c>
    </row>
    <row r="171" customFormat="false" ht="15" hidden="false" customHeight="true" outlineLevel="0" collapsed="false">
      <c r="A171" s="1" t="s">
        <v>244</v>
      </c>
      <c r="B171" s="16" t="n">
        <v>45384</v>
      </c>
      <c r="C171" s="1" t="s">
        <v>88</v>
      </c>
      <c r="D171" s="1" t="s">
        <v>19</v>
      </c>
      <c r="E171" s="1" t="s">
        <v>42</v>
      </c>
      <c r="F171" s="1" t="s">
        <v>14</v>
      </c>
      <c r="G171" s="1" t="n">
        <v>11</v>
      </c>
      <c r="H171" s="17" t="n">
        <v>1682.36</v>
      </c>
      <c r="I171" s="18" t="n">
        <v>0.2</v>
      </c>
      <c r="J171" s="17" t="n">
        <f aca="false">G171*H171*(1-I171)</f>
        <v>14804.768</v>
      </c>
      <c r="K171" s="18" t="n">
        <v>0.37</v>
      </c>
    </row>
    <row r="172" customFormat="false" ht="15" hidden="false" customHeight="true" outlineLevel="0" collapsed="false">
      <c r="A172" s="1" t="s">
        <v>245</v>
      </c>
      <c r="B172" s="16" t="n">
        <v>45556</v>
      </c>
      <c r="C172" s="1" t="s">
        <v>95</v>
      </c>
      <c r="D172" s="1" t="s">
        <v>13</v>
      </c>
      <c r="E172" s="1" t="s">
        <v>38</v>
      </c>
      <c r="F172" s="1" t="s">
        <v>20</v>
      </c>
      <c r="G172" s="1" t="n">
        <v>10</v>
      </c>
      <c r="H172" s="17" t="n">
        <v>655.91</v>
      </c>
      <c r="I172" s="18" t="n">
        <v>0.27</v>
      </c>
      <c r="J172" s="17" t="n">
        <f aca="false">G172*H172*(1-I172)</f>
        <v>4788.143</v>
      </c>
      <c r="K172" s="18" t="n">
        <v>0.44</v>
      </c>
    </row>
    <row r="173" customFormat="false" ht="15" hidden="false" customHeight="true" outlineLevel="0" collapsed="false">
      <c r="A173" s="1" t="s">
        <v>246</v>
      </c>
      <c r="B173" s="16" t="n">
        <v>45413</v>
      </c>
      <c r="C173" s="1" t="s">
        <v>85</v>
      </c>
      <c r="D173" s="1" t="s">
        <v>17</v>
      </c>
      <c r="E173" s="1" t="s">
        <v>48</v>
      </c>
      <c r="F173" s="1" t="s">
        <v>22</v>
      </c>
      <c r="G173" s="1" t="n">
        <v>16</v>
      </c>
      <c r="H173" s="17" t="n">
        <v>1991.41</v>
      </c>
      <c r="I173" s="18" t="n">
        <v>0.28</v>
      </c>
      <c r="J173" s="17" t="n">
        <f aca="false">G173*H173*(1-I173)</f>
        <v>22941.0432</v>
      </c>
      <c r="K173" s="18" t="n">
        <v>0.32</v>
      </c>
    </row>
    <row r="174" customFormat="false" ht="15" hidden="false" customHeight="true" outlineLevel="0" collapsed="false">
      <c r="A174" s="1" t="s">
        <v>247</v>
      </c>
      <c r="B174" s="16" t="n">
        <v>45610</v>
      </c>
      <c r="C174" s="1" t="s">
        <v>71</v>
      </c>
      <c r="D174" s="1" t="s">
        <v>21</v>
      </c>
      <c r="E174" s="1" t="s">
        <v>36</v>
      </c>
      <c r="F174" s="1" t="s">
        <v>18</v>
      </c>
      <c r="G174" s="1" t="n">
        <v>4</v>
      </c>
      <c r="H174" s="17" t="n">
        <v>1232.93</v>
      </c>
      <c r="I174" s="18" t="n">
        <v>0.14</v>
      </c>
      <c r="J174" s="17" t="n">
        <f aca="false">G174*H174*(1-I174)</f>
        <v>4241.2792</v>
      </c>
      <c r="K174" s="18" t="n">
        <v>0.26</v>
      </c>
    </row>
    <row r="175" customFormat="false" ht="15" hidden="false" customHeight="true" outlineLevel="0" collapsed="false">
      <c r="A175" s="1" t="s">
        <v>248</v>
      </c>
      <c r="B175" s="16" t="n">
        <v>45452</v>
      </c>
      <c r="C175" s="1" t="s">
        <v>85</v>
      </c>
      <c r="D175" s="1" t="s">
        <v>17</v>
      </c>
      <c r="E175" s="1" t="s">
        <v>34</v>
      </c>
      <c r="F175" s="1" t="s">
        <v>14</v>
      </c>
      <c r="G175" s="1" t="n">
        <v>6</v>
      </c>
      <c r="H175" s="17" t="n">
        <v>937.81</v>
      </c>
      <c r="I175" s="18" t="n">
        <v>0.12</v>
      </c>
      <c r="J175" s="17" t="n">
        <f aca="false">G175*H175*(1-I175)</f>
        <v>4951.6368</v>
      </c>
      <c r="K175" s="18" t="n">
        <v>0.22</v>
      </c>
    </row>
    <row r="176" customFormat="false" ht="15" hidden="false" customHeight="true" outlineLevel="0" collapsed="false">
      <c r="A176" s="1" t="s">
        <v>249</v>
      </c>
      <c r="B176" s="16" t="n">
        <v>45597</v>
      </c>
      <c r="C176" s="1" t="s">
        <v>73</v>
      </c>
      <c r="D176" s="1" t="s">
        <v>13</v>
      </c>
      <c r="E176" s="1" t="s">
        <v>40</v>
      </c>
      <c r="F176" s="1" t="s">
        <v>14</v>
      </c>
      <c r="G176" s="1" t="n">
        <v>14</v>
      </c>
      <c r="H176" s="17" t="n">
        <v>1485.27</v>
      </c>
      <c r="I176" s="18" t="n">
        <v>0.16</v>
      </c>
      <c r="J176" s="17" t="n">
        <f aca="false">G176*H176*(1-I176)</f>
        <v>17466.7752</v>
      </c>
      <c r="K176" s="18" t="n">
        <v>0.15</v>
      </c>
    </row>
    <row r="177" customFormat="false" ht="15" hidden="false" customHeight="true" outlineLevel="0" collapsed="false">
      <c r="A177" s="1" t="s">
        <v>250</v>
      </c>
      <c r="B177" s="16" t="n">
        <v>45402</v>
      </c>
      <c r="C177" s="1" t="s">
        <v>71</v>
      </c>
      <c r="D177" s="1" t="s">
        <v>13</v>
      </c>
      <c r="E177" s="1" t="s">
        <v>46</v>
      </c>
      <c r="F177" s="1" t="s">
        <v>18</v>
      </c>
      <c r="G177" s="1" t="n">
        <v>6</v>
      </c>
      <c r="H177" s="17" t="n">
        <v>786.72</v>
      </c>
      <c r="I177" s="18" t="n">
        <v>0.16</v>
      </c>
      <c r="J177" s="17" t="n">
        <f aca="false">G177*H177*(1-I177)</f>
        <v>3965.0688</v>
      </c>
      <c r="K177" s="18" t="n">
        <v>0.41</v>
      </c>
    </row>
    <row r="178" customFormat="false" ht="15" hidden="false" customHeight="true" outlineLevel="0" collapsed="false">
      <c r="A178" s="1" t="s">
        <v>251</v>
      </c>
      <c r="B178" s="16" t="n">
        <v>45502</v>
      </c>
      <c r="C178" s="1" t="s">
        <v>88</v>
      </c>
      <c r="D178" s="1" t="s">
        <v>17</v>
      </c>
      <c r="E178" s="1" t="s">
        <v>46</v>
      </c>
      <c r="F178" s="1" t="s">
        <v>14</v>
      </c>
      <c r="G178" s="1" t="n">
        <v>20</v>
      </c>
      <c r="H178" s="17" t="n">
        <v>2220.12</v>
      </c>
      <c r="I178" s="18" t="n">
        <v>0.13</v>
      </c>
      <c r="J178" s="17" t="n">
        <f aca="false">G178*H178*(1-I178)</f>
        <v>38630.088</v>
      </c>
      <c r="K178" s="18" t="n">
        <v>0.38</v>
      </c>
    </row>
    <row r="179" customFormat="false" ht="15" hidden="false" customHeight="true" outlineLevel="0" collapsed="false">
      <c r="A179" s="1" t="s">
        <v>252</v>
      </c>
      <c r="B179" s="16" t="n">
        <v>45574</v>
      </c>
      <c r="C179" s="1" t="s">
        <v>117</v>
      </c>
      <c r="D179" s="1" t="s">
        <v>21</v>
      </c>
      <c r="E179" s="1" t="s">
        <v>46</v>
      </c>
      <c r="F179" s="1" t="s">
        <v>22</v>
      </c>
      <c r="G179" s="1" t="n">
        <v>15</v>
      </c>
      <c r="H179" s="17" t="n">
        <v>2468.6</v>
      </c>
      <c r="I179" s="18" t="n">
        <v>0.04</v>
      </c>
      <c r="J179" s="17" t="n">
        <f aca="false">G179*H179*(1-I179)</f>
        <v>35547.84</v>
      </c>
      <c r="K179" s="18" t="n">
        <v>0.41</v>
      </c>
    </row>
    <row r="180" customFormat="false" ht="15" hidden="false" customHeight="true" outlineLevel="0" collapsed="false">
      <c r="A180" s="1" t="s">
        <v>253</v>
      </c>
      <c r="B180" s="16" t="n">
        <v>45343</v>
      </c>
      <c r="C180" s="1" t="s">
        <v>81</v>
      </c>
      <c r="D180" s="1" t="s">
        <v>19</v>
      </c>
      <c r="E180" s="1" t="s">
        <v>48</v>
      </c>
      <c r="F180" s="1" t="s">
        <v>18</v>
      </c>
      <c r="G180" s="1" t="n">
        <v>3</v>
      </c>
      <c r="H180" s="17" t="n">
        <v>1229.21</v>
      </c>
      <c r="I180" s="18" t="n">
        <v>0</v>
      </c>
      <c r="J180" s="17" t="n">
        <f aca="false">G180*H180*(1-I180)</f>
        <v>3687.63</v>
      </c>
      <c r="K180" s="18" t="n">
        <v>0.15</v>
      </c>
    </row>
    <row r="181" customFormat="false" ht="15" hidden="false" customHeight="true" outlineLevel="0" collapsed="false">
      <c r="A181" s="1" t="s">
        <v>254</v>
      </c>
      <c r="B181" s="16" t="n">
        <v>45441</v>
      </c>
      <c r="C181" s="1" t="s">
        <v>64</v>
      </c>
      <c r="D181" s="1" t="s">
        <v>17</v>
      </c>
      <c r="E181" s="1" t="s">
        <v>44</v>
      </c>
      <c r="F181" s="1" t="s">
        <v>20</v>
      </c>
      <c r="G181" s="1" t="n">
        <v>11</v>
      </c>
      <c r="H181" s="17" t="n">
        <v>1874.41</v>
      </c>
      <c r="I181" s="18" t="n">
        <v>0.19</v>
      </c>
      <c r="J181" s="17" t="n">
        <f aca="false">G181*H181*(1-I181)</f>
        <v>16700.9931</v>
      </c>
      <c r="K181" s="18" t="n">
        <v>0.42</v>
      </c>
    </row>
    <row r="182" customFormat="false" ht="15" hidden="false" customHeight="true" outlineLevel="0" collapsed="false">
      <c r="A182" s="1" t="s">
        <v>255</v>
      </c>
      <c r="B182" s="16" t="n">
        <v>45630</v>
      </c>
      <c r="C182" s="1" t="s">
        <v>73</v>
      </c>
      <c r="D182" s="1" t="s">
        <v>15</v>
      </c>
      <c r="E182" s="1" t="s">
        <v>38</v>
      </c>
      <c r="F182" s="1" t="s">
        <v>20</v>
      </c>
      <c r="G182" s="1" t="n">
        <v>4</v>
      </c>
      <c r="H182" s="17" t="n">
        <v>68.43</v>
      </c>
      <c r="I182" s="18" t="n">
        <v>0.22</v>
      </c>
      <c r="J182" s="17" t="n">
        <f aca="false">G182*H182*(1-I182)</f>
        <v>213.5016</v>
      </c>
      <c r="K182" s="18" t="n">
        <v>0.22</v>
      </c>
    </row>
    <row r="183" customFormat="false" ht="15" hidden="false" customHeight="true" outlineLevel="0" collapsed="false">
      <c r="A183" s="1" t="s">
        <v>256</v>
      </c>
      <c r="B183" s="16" t="n">
        <v>45501</v>
      </c>
      <c r="C183" s="1" t="s">
        <v>95</v>
      </c>
      <c r="D183" s="1" t="s">
        <v>15</v>
      </c>
      <c r="E183" s="1" t="s">
        <v>42</v>
      </c>
      <c r="F183" s="1" t="s">
        <v>14</v>
      </c>
      <c r="G183" s="1" t="n">
        <v>8</v>
      </c>
      <c r="H183" s="17" t="n">
        <v>2064.81</v>
      </c>
      <c r="I183" s="18" t="n">
        <v>0.15</v>
      </c>
      <c r="J183" s="17" t="n">
        <f aca="false">G183*H183*(1-I183)</f>
        <v>14040.708</v>
      </c>
      <c r="K183" s="18" t="n">
        <v>0.26</v>
      </c>
    </row>
    <row r="184" customFormat="false" ht="15" hidden="false" customHeight="true" outlineLevel="0" collapsed="false">
      <c r="A184" s="1" t="s">
        <v>257</v>
      </c>
      <c r="B184" s="16" t="n">
        <v>45440</v>
      </c>
      <c r="C184" s="1" t="s">
        <v>69</v>
      </c>
      <c r="D184" s="1" t="s">
        <v>13</v>
      </c>
      <c r="E184" s="1" t="s">
        <v>46</v>
      </c>
      <c r="F184" s="1" t="s">
        <v>16</v>
      </c>
      <c r="G184" s="1" t="n">
        <v>1</v>
      </c>
      <c r="H184" s="17" t="n">
        <v>1163.66</v>
      </c>
      <c r="I184" s="18" t="n">
        <v>0.18</v>
      </c>
      <c r="J184" s="17" t="n">
        <f aca="false">G184*H184*(1-I184)</f>
        <v>954.2012</v>
      </c>
      <c r="K184" s="18" t="n">
        <v>0.34</v>
      </c>
    </row>
    <row r="185" customFormat="false" ht="15" hidden="false" customHeight="true" outlineLevel="0" collapsed="false">
      <c r="A185" s="1" t="s">
        <v>258</v>
      </c>
      <c r="B185" s="16" t="n">
        <v>45339</v>
      </c>
      <c r="C185" s="1" t="s">
        <v>77</v>
      </c>
      <c r="D185" s="1" t="s">
        <v>15</v>
      </c>
      <c r="E185" s="1" t="s">
        <v>44</v>
      </c>
      <c r="F185" s="1" t="s">
        <v>16</v>
      </c>
      <c r="G185" s="1" t="n">
        <v>4</v>
      </c>
      <c r="H185" s="17" t="n">
        <v>1432.54</v>
      </c>
      <c r="I185" s="18" t="n">
        <v>0.08</v>
      </c>
      <c r="J185" s="17" t="n">
        <f aca="false">G185*H185*(1-I185)</f>
        <v>5271.7472</v>
      </c>
      <c r="K185" s="18" t="n">
        <v>0.25</v>
      </c>
    </row>
    <row r="186" customFormat="false" ht="15" hidden="false" customHeight="true" outlineLevel="0" collapsed="false">
      <c r="A186" s="1" t="s">
        <v>259</v>
      </c>
      <c r="B186" s="16" t="n">
        <v>45363</v>
      </c>
      <c r="C186" s="1" t="s">
        <v>95</v>
      </c>
      <c r="D186" s="1" t="s">
        <v>13</v>
      </c>
      <c r="E186" s="1" t="s">
        <v>44</v>
      </c>
      <c r="F186" s="1" t="s">
        <v>14</v>
      </c>
      <c r="G186" s="1" t="n">
        <v>14</v>
      </c>
      <c r="H186" s="17" t="n">
        <v>1061.7</v>
      </c>
      <c r="I186" s="18" t="n">
        <v>0.25</v>
      </c>
      <c r="J186" s="17" t="n">
        <f aca="false">G186*H186*(1-I186)</f>
        <v>11147.85</v>
      </c>
      <c r="K186" s="18" t="n">
        <v>0.23</v>
      </c>
    </row>
    <row r="187" customFormat="false" ht="15" hidden="false" customHeight="true" outlineLevel="0" collapsed="false">
      <c r="A187" s="1" t="s">
        <v>260</v>
      </c>
      <c r="B187" s="16" t="n">
        <v>45367</v>
      </c>
      <c r="C187" s="1" t="s">
        <v>88</v>
      </c>
      <c r="D187" s="1" t="s">
        <v>17</v>
      </c>
      <c r="E187" s="1" t="s">
        <v>42</v>
      </c>
      <c r="F187" s="1" t="s">
        <v>18</v>
      </c>
      <c r="G187" s="1" t="n">
        <v>10</v>
      </c>
      <c r="H187" s="17" t="n">
        <v>204.18</v>
      </c>
      <c r="I187" s="18" t="n">
        <v>0.04</v>
      </c>
      <c r="J187" s="17" t="n">
        <f aca="false">G187*H187*(1-I187)</f>
        <v>1960.128</v>
      </c>
      <c r="K187" s="18" t="n">
        <v>0.17</v>
      </c>
    </row>
    <row r="188" customFormat="false" ht="15" hidden="false" customHeight="true" outlineLevel="0" collapsed="false">
      <c r="A188" s="1" t="s">
        <v>261</v>
      </c>
      <c r="B188" s="16" t="n">
        <v>45315</v>
      </c>
      <c r="C188" s="1" t="s">
        <v>85</v>
      </c>
      <c r="D188" s="1" t="s">
        <v>13</v>
      </c>
      <c r="E188" s="1" t="s">
        <v>44</v>
      </c>
      <c r="F188" s="1" t="s">
        <v>18</v>
      </c>
      <c r="G188" s="1" t="n">
        <v>7</v>
      </c>
      <c r="H188" s="17" t="n">
        <v>681.62</v>
      </c>
      <c r="I188" s="18" t="n">
        <v>0.1</v>
      </c>
      <c r="J188" s="17" t="n">
        <f aca="false">G188*H188*(1-I188)</f>
        <v>4294.206</v>
      </c>
      <c r="K188" s="18" t="n">
        <v>0.41</v>
      </c>
    </row>
    <row r="189" customFormat="false" ht="15" hidden="false" customHeight="true" outlineLevel="0" collapsed="false">
      <c r="A189" s="1" t="s">
        <v>262</v>
      </c>
      <c r="B189" s="16" t="n">
        <v>45542</v>
      </c>
      <c r="C189" s="1" t="s">
        <v>117</v>
      </c>
      <c r="D189" s="1" t="s">
        <v>13</v>
      </c>
      <c r="E189" s="1" t="s">
        <v>46</v>
      </c>
      <c r="F189" s="1" t="s">
        <v>16</v>
      </c>
      <c r="G189" s="1" t="n">
        <v>12</v>
      </c>
      <c r="H189" s="17" t="n">
        <v>665.7</v>
      </c>
      <c r="I189" s="18" t="n">
        <v>0.01</v>
      </c>
      <c r="J189" s="17" t="n">
        <f aca="false">G189*H189*(1-I189)</f>
        <v>7908.516</v>
      </c>
      <c r="K189" s="18" t="n">
        <v>0.17</v>
      </c>
    </row>
    <row r="190" customFormat="false" ht="15" hidden="false" customHeight="true" outlineLevel="0" collapsed="false">
      <c r="A190" s="1" t="s">
        <v>263</v>
      </c>
      <c r="B190" s="16" t="n">
        <v>45329</v>
      </c>
      <c r="C190" s="1" t="s">
        <v>93</v>
      </c>
      <c r="D190" s="1" t="s">
        <v>21</v>
      </c>
      <c r="E190" s="1" t="s">
        <v>50</v>
      </c>
      <c r="F190" s="1" t="s">
        <v>18</v>
      </c>
      <c r="G190" s="1" t="n">
        <v>14</v>
      </c>
      <c r="H190" s="17" t="n">
        <v>1333.59</v>
      </c>
      <c r="I190" s="18" t="n">
        <v>0.02</v>
      </c>
      <c r="J190" s="17" t="n">
        <f aca="false">G190*H190*(1-I190)</f>
        <v>18296.8548</v>
      </c>
      <c r="K190" s="18" t="n">
        <v>0.16</v>
      </c>
    </row>
    <row r="191" customFormat="false" ht="15" hidden="false" customHeight="true" outlineLevel="0" collapsed="false">
      <c r="A191" s="1" t="s">
        <v>264</v>
      </c>
      <c r="B191" s="16" t="n">
        <v>45323</v>
      </c>
      <c r="C191" s="1" t="s">
        <v>95</v>
      </c>
      <c r="D191" s="1" t="s">
        <v>19</v>
      </c>
      <c r="E191" s="1" t="s">
        <v>36</v>
      </c>
      <c r="F191" s="1" t="s">
        <v>20</v>
      </c>
      <c r="G191" s="1" t="n">
        <v>8</v>
      </c>
      <c r="H191" s="17" t="n">
        <v>1140.04</v>
      </c>
      <c r="I191" s="18" t="n">
        <v>0.17</v>
      </c>
      <c r="J191" s="17" t="n">
        <f aca="false">G191*H191*(1-I191)</f>
        <v>7569.8656</v>
      </c>
      <c r="K191" s="18" t="n">
        <v>0.3</v>
      </c>
    </row>
    <row r="192" customFormat="false" ht="15" hidden="false" customHeight="true" outlineLevel="0" collapsed="false">
      <c r="A192" s="1" t="s">
        <v>265</v>
      </c>
      <c r="B192" s="16" t="n">
        <v>45400</v>
      </c>
      <c r="C192" s="1" t="s">
        <v>93</v>
      </c>
      <c r="D192" s="1" t="s">
        <v>15</v>
      </c>
      <c r="E192" s="1" t="s">
        <v>32</v>
      </c>
      <c r="F192" s="1" t="s">
        <v>16</v>
      </c>
      <c r="G192" s="1" t="n">
        <v>17</v>
      </c>
      <c r="H192" s="17" t="n">
        <v>231.78</v>
      </c>
      <c r="I192" s="18" t="n">
        <v>0.18</v>
      </c>
      <c r="J192" s="17" t="n">
        <f aca="false">G192*H192*(1-I192)</f>
        <v>3231.0132</v>
      </c>
      <c r="K192" s="18" t="n">
        <v>0.36</v>
      </c>
    </row>
    <row r="193" customFormat="false" ht="15" hidden="false" customHeight="true" outlineLevel="0" collapsed="false">
      <c r="A193" s="1" t="s">
        <v>266</v>
      </c>
      <c r="B193" s="16" t="n">
        <v>45317</v>
      </c>
      <c r="C193" s="1" t="s">
        <v>73</v>
      </c>
      <c r="D193" s="1" t="s">
        <v>15</v>
      </c>
      <c r="E193" s="1" t="s">
        <v>46</v>
      </c>
      <c r="F193" s="1" t="s">
        <v>16</v>
      </c>
      <c r="G193" s="1" t="n">
        <v>6</v>
      </c>
      <c r="H193" s="17" t="n">
        <v>1553.59</v>
      </c>
      <c r="I193" s="18" t="n">
        <v>0.15</v>
      </c>
      <c r="J193" s="17" t="n">
        <f aca="false">G193*H193*(1-I193)</f>
        <v>7923.309</v>
      </c>
      <c r="K193" s="18" t="n">
        <v>0.42</v>
      </c>
    </row>
    <row r="194" customFormat="false" ht="15" hidden="false" customHeight="true" outlineLevel="0" collapsed="false">
      <c r="A194" s="1" t="s">
        <v>267</v>
      </c>
      <c r="B194" s="16" t="n">
        <v>45387</v>
      </c>
      <c r="C194" s="1" t="s">
        <v>88</v>
      </c>
      <c r="D194" s="1" t="s">
        <v>19</v>
      </c>
      <c r="E194" s="1" t="s">
        <v>32</v>
      </c>
      <c r="F194" s="1" t="s">
        <v>20</v>
      </c>
      <c r="G194" s="1" t="n">
        <v>17</v>
      </c>
      <c r="H194" s="17" t="n">
        <v>808.9</v>
      </c>
      <c r="I194" s="18" t="n">
        <v>0.3</v>
      </c>
      <c r="J194" s="17" t="n">
        <f aca="false">G194*H194*(1-I194)</f>
        <v>9625.91</v>
      </c>
      <c r="K194" s="18" t="n">
        <v>0.35</v>
      </c>
    </row>
    <row r="195" customFormat="false" ht="15" hidden="false" customHeight="true" outlineLevel="0" collapsed="false">
      <c r="A195" s="1" t="s">
        <v>268</v>
      </c>
      <c r="B195" s="16" t="n">
        <v>45305</v>
      </c>
      <c r="C195" s="1" t="s">
        <v>95</v>
      </c>
      <c r="D195" s="1" t="s">
        <v>13</v>
      </c>
      <c r="E195" s="1" t="s">
        <v>50</v>
      </c>
      <c r="F195" s="1" t="s">
        <v>20</v>
      </c>
      <c r="G195" s="1" t="n">
        <v>12</v>
      </c>
      <c r="H195" s="17" t="n">
        <v>154.35</v>
      </c>
      <c r="I195" s="18" t="n">
        <v>0.02</v>
      </c>
      <c r="J195" s="17" t="n">
        <f aca="false">G195*H195*(1-I195)</f>
        <v>1815.156</v>
      </c>
      <c r="K195" s="18" t="n">
        <v>0.33</v>
      </c>
    </row>
    <row r="196" customFormat="false" ht="15" hidden="false" customHeight="true" outlineLevel="0" collapsed="false">
      <c r="A196" s="1" t="s">
        <v>269</v>
      </c>
      <c r="B196" s="16" t="n">
        <v>45629</v>
      </c>
      <c r="C196" s="1" t="s">
        <v>66</v>
      </c>
      <c r="D196" s="1" t="s">
        <v>17</v>
      </c>
      <c r="E196" s="1" t="s">
        <v>44</v>
      </c>
      <c r="F196" s="1" t="s">
        <v>22</v>
      </c>
      <c r="G196" s="1" t="n">
        <v>4</v>
      </c>
      <c r="H196" s="17" t="n">
        <v>1955.41</v>
      </c>
      <c r="I196" s="18" t="n">
        <v>0.12</v>
      </c>
      <c r="J196" s="17" t="n">
        <f aca="false">G196*H196*(1-I196)</f>
        <v>6883.0432</v>
      </c>
      <c r="K196" s="18" t="n">
        <v>0.38</v>
      </c>
    </row>
    <row r="197" customFormat="false" ht="15" hidden="false" customHeight="true" outlineLevel="0" collapsed="false">
      <c r="A197" s="1" t="s">
        <v>270</v>
      </c>
      <c r="B197" s="16" t="n">
        <v>45554</v>
      </c>
      <c r="C197" s="1" t="s">
        <v>71</v>
      </c>
      <c r="D197" s="1" t="s">
        <v>13</v>
      </c>
      <c r="E197" s="1" t="s">
        <v>38</v>
      </c>
      <c r="F197" s="1" t="s">
        <v>14</v>
      </c>
      <c r="G197" s="1" t="n">
        <v>15</v>
      </c>
      <c r="H197" s="17" t="n">
        <v>2078.43</v>
      </c>
      <c r="I197" s="18" t="n">
        <v>0.09</v>
      </c>
      <c r="J197" s="17" t="n">
        <f aca="false">G197*H197*(1-I197)</f>
        <v>28370.5695</v>
      </c>
      <c r="K197" s="18" t="n">
        <v>0.39</v>
      </c>
    </row>
    <row r="198" customFormat="false" ht="15" hidden="false" customHeight="true" outlineLevel="0" collapsed="false">
      <c r="A198" s="1" t="s">
        <v>271</v>
      </c>
      <c r="B198" s="16" t="n">
        <v>45435</v>
      </c>
      <c r="C198" s="1" t="s">
        <v>77</v>
      </c>
      <c r="D198" s="1" t="s">
        <v>19</v>
      </c>
      <c r="E198" s="1" t="s">
        <v>46</v>
      </c>
      <c r="F198" s="1" t="s">
        <v>22</v>
      </c>
      <c r="G198" s="1" t="n">
        <v>19</v>
      </c>
      <c r="H198" s="17" t="n">
        <v>1802.92</v>
      </c>
      <c r="I198" s="18" t="n">
        <v>0.26</v>
      </c>
      <c r="J198" s="17" t="n">
        <f aca="false">G198*H198*(1-I198)</f>
        <v>25349.0552</v>
      </c>
      <c r="K198" s="18" t="n">
        <v>0.44</v>
      </c>
    </row>
    <row r="199" customFormat="false" ht="15" hidden="false" customHeight="true" outlineLevel="0" collapsed="false">
      <c r="A199" s="1" t="s">
        <v>272</v>
      </c>
      <c r="B199" s="16" t="n">
        <v>45499</v>
      </c>
      <c r="C199" s="1" t="s">
        <v>71</v>
      </c>
      <c r="D199" s="1" t="s">
        <v>19</v>
      </c>
      <c r="E199" s="1" t="s">
        <v>38</v>
      </c>
      <c r="F199" s="1" t="s">
        <v>20</v>
      </c>
      <c r="G199" s="1" t="n">
        <v>2</v>
      </c>
      <c r="H199" s="17" t="n">
        <v>2224.63</v>
      </c>
      <c r="I199" s="18" t="n">
        <v>0.12</v>
      </c>
      <c r="J199" s="17" t="n">
        <f aca="false">G199*H199*(1-I199)</f>
        <v>3915.3488</v>
      </c>
      <c r="K199" s="18" t="n">
        <v>0.29</v>
      </c>
    </row>
    <row r="200" customFormat="false" ht="15" hidden="false" customHeight="true" outlineLevel="0" collapsed="false">
      <c r="A200" s="1" t="s">
        <v>273</v>
      </c>
      <c r="B200" s="16" t="n">
        <v>45355</v>
      </c>
      <c r="C200" s="1" t="s">
        <v>88</v>
      </c>
      <c r="D200" s="1" t="s">
        <v>15</v>
      </c>
      <c r="E200" s="1" t="s">
        <v>48</v>
      </c>
      <c r="F200" s="1" t="s">
        <v>18</v>
      </c>
      <c r="G200" s="1" t="n">
        <v>5</v>
      </c>
      <c r="H200" s="17" t="n">
        <v>1316.97</v>
      </c>
      <c r="I200" s="18" t="n">
        <v>0.29</v>
      </c>
      <c r="J200" s="17" t="n">
        <f aca="false">G200*H200*(1-I200)</f>
        <v>4675.2435</v>
      </c>
      <c r="K200" s="18" t="n">
        <v>0.18</v>
      </c>
    </row>
    <row r="201" customFormat="false" ht="15" hidden="false" customHeight="true" outlineLevel="0" collapsed="false">
      <c r="A201" s="1" t="s">
        <v>274</v>
      </c>
      <c r="B201" s="16" t="n">
        <v>45606</v>
      </c>
      <c r="C201" s="1" t="s">
        <v>81</v>
      </c>
      <c r="D201" s="1" t="s">
        <v>15</v>
      </c>
      <c r="E201" s="1" t="s">
        <v>42</v>
      </c>
      <c r="F201" s="1" t="s">
        <v>20</v>
      </c>
      <c r="G201" s="1" t="n">
        <v>12</v>
      </c>
      <c r="H201" s="17" t="n">
        <v>838.54</v>
      </c>
      <c r="I201" s="18" t="n">
        <v>0.27</v>
      </c>
      <c r="J201" s="17" t="n">
        <f aca="false">G201*H201*(1-I201)</f>
        <v>7345.6104</v>
      </c>
      <c r="K201" s="18" t="n">
        <v>0.17</v>
      </c>
    </row>
    <row r="202" customFormat="false" ht="15" hidden="false" customHeight="true" outlineLevel="0" collapsed="false">
      <c r="A202" s="1" t="s">
        <v>275</v>
      </c>
      <c r="B202" s="16" t="n">
        <v>45386</v>
      </c>
      <c r="C202" s="1" t="s">
        <v>73</v>
      </c>
      <c r="D202" s="1" t="s">
        <v>21</v>
      </c>
      <c r="E202" s="1" t="s">
        <v>34</v>
      </c>
      <c r="F202" s="1" t="s">
        <v>18</v>
      </c>
      <c r="G202" s="1" t="n">
        <v>18</v>
      </c>
      <c r="H202" s="17" t="n">
        <v>2222.44</v>
      </c>
      <c r="I202" s="18" t="n">
        <v>0.22</v>
      </c>
      <c r="J202" s="17" t="n">
        <f aca="false">G202*H202*(1-I202)</f>
        <v>31203.0576</v>
      </c>
      <c r="K202" s="18" t="n">
        <v>0.18</v>
      </c>
    </row>
    <row r="203" customFormat="false" ht="15" hidden="false" customHeight="true" outlineLevel="0" collapsed="false">
      <c r="A203" s="1" t="s">
        <v>276</v>
      </c>
      <c r="B203" s="16" t="n">
        <v>45333</v>
      </c>
      <c r="C203" s="1" t="s">
        <v>66</v>
      </c>
      <c r="D203" s="1" t="s">
        <v>15</v>
      </c>
      <c r="E203" s="1" t="s">
        <v>48</v>
      </c>
      <c r="F203" s="1" t="s">
        <v>16</v>
      </c>
      <c r="G203" s="1" t="n">
        <v>1</v>
      </c>
      <c r="H203" s="17" t="n">
        <v>1663.22</v>
      </c>
      <c r="I203" s="18" t="n">
        <v>0.06</v>
      </c>
      <c r="J203" s="17" t="n">
        <f aca="false">G203*H203*(1-I203)</f>
        <v>1563.4268</v>
      </c>
      <c r="K203" s="18" t="n">
        <v>0.18</v>
      </c>
    </row>
    <row r="204" customFormat="false" ht="15" hidden="false" customHeight="true" outlineLevel="0" collapsed="false">
      <c r="A204" s="1" t="s">
        <v>277</v>
      </c>
      <c r="B204" s="16" t="n">
        <v>45464</v>
      </c>
      <c r="C204" s="1" t="s">
        <v>73</v>
      </c>
      <c r="D204" s="1" t="s">
        <v>13</v>
      </c>
      <c r="E204" s="1" t="s">
        <v>46</v>
      </c>
      <c r="F204" s="1" t="s">
        <v>16</v>
      </c>
      <c r="G204" s="1" t="n">
        <v>2</v>
      </c>
      <c r="H204" s="17" t="n">
        <v>599.47</v>
      </c>
      <c r="I204" s="18" t="n">
        <v>0.2</v>
      </c>
      <c r="J204" s="17" t="n">
        <f aca="false">G204*H204*(1-I204)</f>
        <v>959.152</v>
      </c>
      <c r="K204" s="18" t="n">
        <v>0.26</v>
      </c>
    </row>
    <row r="205" customFormat="false" ht="15" hidden="false" customHeight="true" outlineLevel="0" collapsed="false">
      <c r="A205" s="1" t="s">
        <v>278</v>
      </c>
      <c r="B205" s="16" t="n">
        <v>45292</v>
      </c>
      <c r="C205" s="1" t="s">
        <v>69</v>
      </c>
      <c r="D205" s="1" t="s">
        <v>15</v>
      </c>
      <c r="E205" s="1" t="s">
        <v>46</v>
      </c>
      <c r="F205" s="1" t="s">
        <v>14</v>
      </c>
      <c r="G205" s="1" t="n">
        <v>4</v>
      </c>
      <c r="H205" s="17" t="n">
        <v>1477.48</v>
      </c>
      <c r="I205" s="18" t="n">
        <v>0.16</v>
      </c>
      <c r="J205" s="17" t="n">
        <f aca="false">G205*H205*(1-I205)</f>
        <v>4964.3328</v>
      </c>
      <c r="K205" s="18" t="n">
        <v>0.25</v>
      </c>
    </row>
    <row r="206" customFormat="false" ht="15" hidden="false" customHeight="true" outlineLevel="0" collapsed="false">
      <c r="A206" s="1" t="s">
        <v>279</v>
      </c>
      <c r="B206" s="16" t="n">
        <v>45475</v>
      </c>
      <c r="C206" s="1" t="s">
        <v>73</v>
      </c>
      <c r="D206" s="1" t="s">
        <v>15</v>
      </c>
      <c r="E206" s="1" t="s">
        <v>42</v>
      </c>
      <c r="F206" s="1" t="s">
        <v>20</v>
      </c>
      <c r="G206" s="1" t="n">
        <v>12</v>
      </c>
      <c r="H206" s="17" t="n">
        <v>2028.71</v>
      </c>
      <c r="I206" s="18" t="n">
        <v>0.09</v>
      </c>
      <c r="J206" s="17" t="n">
        <f aca="false">G206*H206*(1-I206)</f>
        <v>22153.5132</v>
      </c>
      <c r="K206" s="18" t="n">
        <v>0.31</v>
      </c>
    </row>
    <row r="207" customFormat="false" ht="15" hidden="false" customHeight="true" outlineLevel="0" collapsed="false">
      <c r="A207" s="1" t="s">
        <v>280</v>
      </c>
      <c r="B207" s="16" t="n">
        <v>45379</v>
      </c>
      <c r="C207" s="1" t="s">
        <v>69</v>
      </c>
      <c r="D207" s="1" t="s">
        <v>17</v>
      </c>
      <c r="E207" s="1" t="s">
        <v>32</v>
      </c>
      <c r="F207" s="1" t="s">
        <v>14</v>
      </c>
      <c r="G207" s="1" t="n">
        <v>7</v>
      </c>
      <c r="H207" s="17" t="n">
        <v>83.26</v>
      </c>
      <c r="I207" s="18" t="n">
        <v>0.19</v>
      </c>
      <c r="J207" s="17" t="n">
        <f aca="false">G207*H207*(1-I207)</f>
        <v>472.0842</v>
      </c>
      <c r="K207" s="18" t="n">
        <v>0.4</v>
      </c>
    </row>
    <row r="208" customFormat="false" ht="15" hidden="false" customHeight="true" outlineLevel="0" collapsed="false">
      <c r="A208" s="1" t="s">
        <v>281</v>
      </c>
      <c r="B208" s="16" t="n">
        <v>45505</v>
      </c>
      <c r="C208" s="1" t="s">
        <v>73</v>
      </c>
      <c r="D208" s="1" t="s">
        <v>13</v>
      </c>
      <c r="E208" s="1" t="s">
        <v>44</v>
      </c>
      <c r="F208" s="1" t="s">
        <v>22</v>
      </c>
      <c r="G208" s="1" t="n">
        <v>8</v>
      </c>
      <c r="H208" s="17" t="n">
        <v>1158.29</v>
      </c>
      <c r="I208" s="18" t="n">
        <v>0.06</v>
      </c>
      <c r="J208" s="17" t="n">
        <f aca="false">G208*H208*(1-I208)</f>
        <v>8710.3408</v>
      </c>
      <c r="K208" s="18" t="n">
        <v>0.42</v>
      </c>
    </row>
    <row r="209" customFormat="false" ht="15" hidden="false" customHeight="true" outlineLevel="0" collapsed="false">
      <c r="A209" s="1" t="s">
        <v>282</v>
      </c>
      <c r="B209" s="16" t="n">
        <v>45528</v>
      </c>
      <c r="C209" s="1" t="s">
        <v>81</v>
      </c>
      <c r="D209" s="1" t="s">
        <v>15</v>
      </c>
      <c r="E209" s="1" t="s">
        <v>36</v>
      </c>
      <c r="F209" s="1" t="s">
        <v>14</v>
      </c>
      <c r="G209" s="1" t="n">
        <v>16</v>
      </c>
      <c r="H209" s="17" t="n">
        <v>2136.18</v>
      </c>
      <c r="I209" s="18" t="n">
        <v>0.14</v>
      </c>
      <c r="J209" s="17" t="n">
        <f aca="false">G209*H209*(1-I209)</f>
        <v>29393.8368</v>
      </c>
      <c r="K209" s="18" t="n">
        <v>0.23</v>
      </c>
    </row>
    <row r="210" customFormat="false" ht="15" hidden="false" customHeight="true" outlineLevel="0" collapsed="false">
      <c r="A210" s="1" t="s">
        <v>283</v>
      </c>
      <c r="B210" s="16" t="n">
        <v>45332</v>
      </c>
      <c r="C210" s="1" t="s">
        <v>81</v>
      </c>
      <c r="D210" s="1" t="s">
        <v>19</v>
      </c>
      <c r="E210" s="1" t="s">
        <v>38</v>
      </c>
      <c r="F210" s="1" t="s">
        <v>14</v>
      </c>
      <c r="G210" s="1" t="n">
        <v>7</v>
      </c>
      <c r="H210" s="17" t="n">
        <v>1063.71</v>
      </c>
      <c r="I210" s="18" t="n">
        <v>0.09</v>
      </c>
      <c r="J210" s="17" t="n">
        <f aca="false">G210*H210*(1-I210)</f>
        <v>6775.8327</v>
      </c>
      <c r="K210" s="18" t="n">
        <v>0.41</v>
      </c>
    </row>
    <row r="211" customFormat="false" ht="15" hidden="false" customHeight="true" outlineLevel="0" collapsed="false">
      <c r="A211" s="1" t="s">
        <v>284</v>
      </c>
      <c r="B211" s="16" t="n">
        <v>45335</v>
      </c>
      <c r="C211" s="1" t="s">
        <v>81</v>
      </c>
      <c r="D211" s="1" t="s">
        <v>15</v>
      </c>
      <c r="E211" s="1" t="s">
        <v>46</v>
      </c>
      <c r="F211" s="1" t="s">
        <v>18</v>
      </c>
      <c r="G211" s="1" t="n">
        <v>13</v>
      </c>
      <c r="H211" s="17" t="n">
        <v>2225.12</v>
      </c>
      <c r="I211" s="18" t="n">
        <v>0.26</v>
      </c>
      <c r="J211" s="17" t="n">
        <f aca="false">G211*H211*(1-I211)</f>
        <v>21405.6544</v>
      </c>
      <c r="K211" s="18" t="n">
        <v>0.18</v>
      </c>
    </row>
    <row r="212" customFormat="false" ht="15" hidden="false" customHeight="true" outlineLevel="0" collapsed="false">
      <c r="A212" s="1" t="s">
        <v>285</v>
      </c>
      <c r="B212" s="16" t="n">
        <v>45580</v>
      </c>
      <c r="C212" s="1" t="s">
        <v>85</v>
      </c>
      <c r="D212" s="1" t="s">
        <v>21</v>
      </c>
      <c r="E212" s="1" t="s">
        <v>50</v>
      </c>
      <c r="F212" s="1" t="s">
        <v>20</v>
      </c>
      <c r="G212" s="1" t="n">
        <v>15</v>
      </c>
      <c r="H212" s="17" t="n">
        <v>1471.12</v>
      </c>
      <c r="I212" s="18" t="n">
        <v>0.02</v>
      </c>
      <c r="J212" s="17" t="n">
        <f aca="false">G212*H212*(1-I212)</f>
        <v>21625.464</v>
      </c>
      <c r="K212" s="18" t="n">
        <v>0.31</v>
      </c>
    </row>
    <row r="213" customFormat="false" ht="15" hidden="false" customHeight="true" outlineLevel="0" collapsed="false">
      <c r="A213" s="1" t="s">
        <v>286</v>
      </c>
      <c r="B213" s="16" t="n">
        <v>45403</v>
      </c>
      <c r="C213" s="1" t="s">
        <v>81</v>
      </c>
      <c r="D213" s="1" t="s">
        <v>21</v>
      </c>
      <c r="E213" s="1" t="s">
        <v>42</v>
      </c>
      <c r="F213" s="1" t="s">
        <v>16</v>
      </c>
      <c r="G213" s="1" t="n">
        <v>3</v>
      </c>
      <c r="H213" s="17" t="n">
        <v>2354.57</v>
      </c>
      <c r="I213" s="18" t="n">
        <v>0.07</v>
      </c>
      <c r="J213" s="17" t="n">
        <f aca="false">G213*H213*(1-I213)</f>
        <v>6569.2503</v>
      </c>
      <c r="K213" s="18" t="n">
        <v>0.26</v>
      </c>
    </row>
    <row r="214" customFormat="false" ht="15" hidden="false" customHeight="true" outlineLevel="0" collapsed="false">
      <c r="A214" s="1" t="s">
        <v>287</v>
      </c>
      <c r="B214" s="16" t="n">
        <v>45538</v>
      </c>
      <c r="C214" s="1" t="s">
        <v>64</v>
      </c>
      <c r="D214" s="1" t="s">
        <v>21</v>
      </c>
      <c r="E214" s="1" t="s">
        <v>38</v>
      </c>
      <c r="F214" s="1" t="s">
        <v>22</v>
      </c>
      <c r="G214" s="1" t="n">
        <v>3</v>
      </c>
      <c r="H214" s="17" t="n">
        <v>1335.57</v>
      </c>
      <c r="I214" s="18" t="n">
        <v>0.1</v>
      </c>
      <c r="J214" s="17" t="n">
        <f aca="false">G214*H214*(1-I214)</f>
        <v>3606.039</v>
      </c>
      <c r="K214" s="18" t="n">
        <v>0.26</v>
      </c>
    </row>
    <row r="215" customFormat="false" ht="15" hidden="false" customHeight="true" outlineLevel="0" collapsed="false">
      <c r="A215" s="1" t="s">
        <v>288</v>
      </c>
      <c r="B215" s="16" t="n">
        <v>45600</v>
      </c>
      <c r="C215" s="1" t="s">
        <v>73</v>
      </c>
      <c r="D215" s="1" t="s">
        <v>21</v>
      </c>
      <c r="E215" s="1" t="s">
        <v>38</v>
      </c>
      <c r="F215" s="1" t="s">
        <v>16</v>
      </c>
      <c r="G215" s="1" t="n">
        <v>4</v>
      </c>
      <c r="H215" s="17" t="n">
        <v>83.81</v>
      </c>
      <c r="I215" s="18" t="n">
        <v>0.12</v>
      </c>
      <c r="J215" s="17" t="n">
        <f aca="false">G215*H215*(1-I215)</f>
        <v>295.0112</v>
      </c>
      <c r="K215" s="18" t="n">
        <v>0.43</v>
      </c>
    </row>
    <row r="216" customFormat="false" ht="15" hidden="false" customHeight="true" outlineLevel="0" collapsed="false">
      <c r="A216" s="1" t="s">
        <v>289</v>
      </c>
      <c r="B216" s="16" t="n">
        <v>45443</v>
      </c>
      <c r="C216" s="1" t="s">
        <v>77</v>
      </c>
      <c r="D216" s="1" t="s">
        <v>15</v>
      </c>
      <c r="E216" s="1" t="s">
        <v>46</v>
      </c>
      <c r="F216" s="1" t="s">
        <v>22</v>
      </c>
      <c r="G216" s="1" t="n">
        <v>6</v>
      </c>
      <c r="H216" s="17" t="n">
        <v>1418.27</v>
      </c>
      <c r="I216" s="18" t="n">
        <v>0.01</v>
      </c>
      <c r="J216" s="17" t="n">
        <f aca="false">G216*H216*(1-I216)</f>
        <v>8424.5238</v>
      </c>
      <c r="K216" s="18" t="n">
        <v>0.16</v>
      </c>
    </row>
    <row r="217" customFormat="false" ht="15" hidden="false" customHeight="true" outlineLevel="0" collapsed="false">
      <c r="A217" s="1" t="s">
        <v>290</v>
      </c>
      <c r="B217" s="16" t="n">
        <v>45546</v>
      </c>
      <c r="C217" s="1" t="s">
        <v>77</v>
      </c>
      <c r="D217" s="1" t="s">
        <v>15</v>
      </c>
      <c r="E217" s="1" t="s">
        <v>50</v>
      </c>
      <c r="F217" s="1" t="s">
        <v>18</v>
      </c>
      <c r="G217" s="1" t="n">
        <v>3</v>
      </c>
      <c r="H217" s="17" t="n">
        <v>131.57</v>
      </c>
      <c r="I217" s="18" t="n">
        <v>0.25</v>
      </c>
      <c r="J217" s="17" t="n">
        <f aca="false">G217*H217*(1-I217)</f>
        <v>296.0325</v>
      </c>
      <c r="K217" s="18" t="n">
        <v>0.22</v>
      </c>
    </row>
    <row r="218" customFormat="false" ht="15" hidden="false" customHeight="true" outlineLevel="0" collapsed="false">
      <c r="A218" s="1" t="s">
        <v>291</v>
      </c>
      <c r="B218" s="16" t="n">
        <v>45490</v>
      </c>
      <c r="C218" s="1" t="s">
        <v>85</v>
      </c>
      <c r="D218" s="1" t="s">
        <v>19</v>
      </c>
      <c r="E218" s="1" t="s">
        <v>32</v>
      </c>
      <c r="F218" s="1" t="s">
        <v>14</v>
      </c>
      <c r="G218" s="1" t="n">
        <v>3</v>
      </c>
      <c r="H218" s="17" t="n">
        <v>583.66</v>
      </c>
      <c r="I218" s="18" t="n">
        <v>0.27</v>
      </c>
      <c r="J218" s="17" t="n">
        <f aca="false">G218*H218*(1-I218)</f>
        <v>1278.2154</v>
      </c>
      <c r="K218" s="18" t="n">
        <v>0.41</v>
      </c>
    </row>
    <row r="219" customFormat="false" ht="15" hidden="false" customHeight="true" outlineLevel="0" collapsed="false">
      <c r="A219" s="1" t="s">
        <v>292</v>
      </c>
      <c r="B219" s="16" t="n">
        <v>45493</v>
      </c>
      <c r="C219" s="1" t="s">
        <v>69</v>
      </c>
      <c r="D219" s="1" t="s">
        <v>21</v>
      </c>
      <c r="E219" s="1" t="s">
        <v>32</v>
      </c>
      <c r="F219" s="1" t="s">
        <v>18</v>
      </c>
      <c r="G219" s="1" t="n">
        <v>12</v>
      </c>
      <c r="H219" s="17" t="n">
        <v>321.73</v>
      </c>
      <c r="I219" s="18" t="n">
        <v>0.21</v>
      </c>
      <c r="J219" s="17" t="n">
        <f aca="false">G219*H219*(1-I219)</f>
        <v>3050.0004</v>
      </c>
      <c r="K219" s="18" t="n">
        <v>0.27</v>
      </c>
    </row>
    <row r="220" customFormat="false" ht="15" hidden="false" customHeight="true" outlineLevel="0" collapsed="false">
      <c r="A220" s="1" t="s">
        <v>293</v>
      </c>
      <c r="B220" s="16" t="n">
        <v>45596</v>
      </c>
      <c r="C220" s="1" t="s">
        <v>95</v>
      </c>
      <c r="D220" s="1" t="s">
        <v>17</v>
      </c>
      <c r="E220" s="1" t="s">
        <v>48</v>
      </c>
      <c r="F220" s="1" t="s">
        <v>16</v>
      </c>
      <c r="G220" s="1" t="n">
        <v>11</v>
      </c>
      <c r="H220" s="17" t="n">
        <v>2115.8</v>
      </c>
      <c r="I220" s="18" t="n">
        <v>0.25</v>
      </c>
      <c r="J220" s="17" t="n">
        <f aca="false">G220*H220*(1-I220)</f>
        <v>17455.35</v>
      </c>
      <c r="K220" s="18" t="n">
        <v>0.31</v>
      </c>
    </row>
    <row r="221" customFormat="false" ht="15" hidden="false" customHeight="true" outlineLevel="0" collapsed="false">
      <c r="A221" s="1" t="s">
        <v>294</v>
      </c>
      <c r="B221" s="16" t="n">
        <v>45354</v>
      </c>
      <c r="C221" s="1" t="s">
        <v>77</v>
      </c>
      <c r="D221" s="1" t="s">
        <v>21</v>
      </c>
      <c r="E221" s="1" t="s">
        <v>34</v>
      </c>
      <c r="F221" s="1" t="s">
        <v>20</v>
      </c>
      <c r="G221" s="1" t="n">
        <v>4</v>
      </c>
      <c r="H221" s="17" t="n">
        <v>1497.42</v>
      </c>
      <c r="I221" s="18" t="n">
        <v>0.17</v>
      </c>
      <c r="J221" s="17" t="n">
        <f aca="false">G221*H221*(1-I221)</f>
        <v>4971.4344</v>
      </c>
      <c r="K221" s="18" t="n">
        <v>0.41</v>
      </c>
    </row>
    <row r="222" customFormat="false" ht="15" hidden="false" customHeight="true" outlineLevel="0" collapsed="false">
      <c r="A222" s="1" t="s">
        <v>295</v>
      </c>
      <c r="B222" s="16" t="n">
        <v>45460</v>
      </c>
      <c r="C222" s="1" t="s">
        <v>85</v>
      </c>
      <c r="D222" s="1" t="s">
        <v>17</v>
      </c>
      <c r="E222" s="1" t="s">
        <v>40</v>
      </c>
      <c r="F222" s="1" t="s">
        <v>22</v>
      </c>
      <c r="G222" s="1" t="n">
        <v>5</v>
      </c>
      <c r="H222" s="17" t="n">
        <v>1051.35</v>
      </c>
      <c r="I222" s="18" t="n">
        <v>0.13</v>
      </c>
      <c r="J222" s="17" t="n">
        <f aca="false">G222*H222*(1-I222)</f>
        <v>4573.3725</v>
      </c>
      <c r="K222" s="18" t="n">
        <v>0.38</v>
      </c>
    </row>
    <row r="223" customFormat="false" ht="15" hidden="false" customHeight="true" outlineLevel="0" collapsed="false">
      <c r="A223" s="1" t="s">
        <v>296</v>
      </c>
      <c r="B223" s="16" t="n">
        <v>45372</v>
      </c>
      <c r="C223" s="1" t="s">
        <v>77</v>
      </c>
      <c r="D223" s="1" t="s">
        <v>13</v>
      </c>
      <c r="E223" s="1" t="s">
        <v>32</v>
      </c>
      <c r="F223" s="1" t="s">
        <v>22</v>
      </c>
      <c r="G223" s="1" t="n">
        <v>17</v>
      </c>
      <c r="H223" s="17" t="n">
        <v>645.65</v>
      </c>
      <c r="I223" s="18" t="n">
        <v>0.04</v>
      </c>
      <c r="J223" s="17" t="n">
        <f aca="false">G223*H223*(1-I223)</f>
        <v>10537.008</v>
      </c>
      <c r="K223" s="18" t="n">
        <v>0.18</v>
      </c>
    </row>
    <row r="224" customFormat="false" ht="15" hidden="false" customHeight="true" outlineLevel="0" collapsed="false">
      <c r="A224" s="1" t="s">
        <v>297</v>
      </c>
      <c r="B224" s="16" t="n">
        <v>45445</v>
      </c>
      <c r="C224" s="1" t="s">
        <v>93</v>
      </c>
      <c r="D224" s="1" t="s">
        <v>21</v>
      </c>
      <c r="E224" s="1" t="s">
        <v>50</v>
      </c>
      <c r="F224" s="1" t="s">
        <v>14</v>
      </c>
      <c r="G224" s="1" t="n">
        <v>10</v>
      </c>
      <c r="H224" s="17" t="n">
        <v>579.43</v>
      </c>
      <c r="I224" s="18" t="n">
        <v>0.22</v>
      </c>
      <c r="J224" s="17" t="n">
        <f aca="false">G224*H224*(1-I224)</f>
        <v>4519.554</v>
      </c>
      <c r="K224" s="18" t="n">
        <v>0.21</v>
      </c>
    </row>
    <row r="225" customFormat="false" ht="15" hidden="false" customHeight="true" outlineLevel="0" collapsed="false">
      <c r="A225" s="1" t="s">
        <v>298</v>
      </c>
      <c r="B225" s="16" t="n">
        <v>45356</v>
      </c>
      <c r="C225" s="1" t="s">
        <v>77</v>
      </c>
      <c r="D225" s="1" t="s">
        <v>19</v>
      </c>
      <c r="E225" s="1" t="s">
        <v>32</v>
      </c>
      <c r="F225" s="1" t="s">
        <v>22</v>
      </c>
      <c r="G225" s="1" t="n">
        <v>5</v>
      </c>
      <c r="H225" s="17" t="n">
        <v>1436.21</v>
      </c>
      <c r="I225" s="18" t="n">
        <v>0.24</v>
      </c>
      <c r="J225" s="17" t="n">
        <f aca="false">G225*H225*(1-I225)</f>
        <v>5457.598</v>
      </c>
      <c r="K225" s="18" t="n">
        <v>0.41</v>
      </c>
    </row>
    <row r="226" customFormat="false" ht="15" hidden="false" customHeight="true" outlineLevel="0" collapsed="false">
      <c r="A226" s="1" t="s">
        <v>299</v>
      </c>
      <c r="B226" s="16" t="n">
        <v>45323</v>
      </c>
      <c r="C226" s="1" t="s">
        <v>73</v>
      </c>
      <c r="D226" s="1" t="s">
        <v>15</v>
      </c>
      <c r="E226" s="1" t="s">
        <v>38</v>
      </c>
      <c r="F226" s="1" t="s">
        <v>14</v>
      </c>
      <c r="G226" s="1" t="n">
        <v>13</v>
      </c>
      <c r="H226" s="17" t="n">
        <v>269.12</v>
      </c>
      <c r="I226" s="18" t="n">
        <v>0.28</v>
      </c>
      <c r="J226" s="17" t="n">
        <f aca="false">G226*H226*(1-I226)</f>
        <v>2518.9632</v>
      </c>
      <c r="K226" s="18" t="n">
        <v>0.38</v>
      </c>
    </row>
    <row r="227" customFormat="false" ht="15" hidden="false" customHeight="true" outlineLevel="0" collapsed="false">
      <c r="A227" s="1" t="s">
        <v>300</v>
      </c>
      <c r="B227" s="16" t="n">
        <v>45585</v>
      </c>
      <c r="C227" s="1" t="s">
        <v>95</v>
      </c>
      <c r="D227" s="1" t="s">
        <v>19</v>
      </c>
      <c r="E227" s="1" t="s">
        <v>42</v>
      </c>
      <c r="F227" s="1" t="s">
        <v>14</v>
      </c>
      <c r="G227" s="1" t="n">
        <v>10</v>
      </c>
      <c r="H227" s="17" t="n">
        <v>1794.39</v>
      </c>
      <c r="I227" s="18" t="n">
        <v>0.14</v>
      </c>
      <c r="J227" s="17" t="n">
        <f aca="false">G227*H227*(1-I227)</f>
        <v>15431.754</v>
      </c>
      <c r="K227" s="18" t="n">
        <v>0.38</v>
      </c>
    </row>
    <row r="228" customFormat="false" ht="15" hidden="false" customHeight="true" outlineLevel="0" collapsed="false">
      <c r="A228" s="1" t="s">
        <v>301</v>
      </c>
      <c r="B228" s="16" t="n">
        <v>45344</v>
      </c>
      <c r="C228" s="1" t="s">
        <v>69</v>
      </c>
      <c r="D228" s="1" t="s">
        <v>21</v>
      </c>
      <c r="E228" s="1" t="s">
        <v>38</v>
      </c>
      <c r="F228" s="1" t="s">
        <v>16</v>
      </c>
      <c r="G228" s="1" t="n">
        <v>1</v>
      </c>
      <c r="H228" s="17" t="n">
        <v>1658.58</v>
      </c>
      <c r="I228" s="18" t="n">
        <v>0.01</v>
      </c>
      <c r="J228" s="17" t="n">
        <f aca="false">G228*H228*(1-I228)</f>
        <v>1641.9942</v>
      </c>
      <c r="K228" s="18" t="n">
        <v>0.27</v>
      </c>
    </row>
    <row r="229" customFormat="false" ht="15" hidden="false" customHeight="true" outlineLevel="0" collapsed="false">
      <c r="A229" s="1" t="s">
        <v>302</v>
      </c>
      <c r="B229" s="16" t="n">
        <v>45418</v>
      </c>
      <c r="C229" s="1" t="s">
        <v>85</v>
      </c>
      <c r="D229" s="1" t="s">
        <v>13</v>
      </c>
      <c r="E229" s="1" t="s">
        <v>42</v>
      </c>
      <c r="F229" s="1" t="s">
        <v>14</v>
      </c>
      <c r="G229" s="1" t="n">
        <v>18</v>
      </c>
      <c r="H229" s="17" t="n">
        <v>1493.29</v>
      </c>
      <c r="I229" s="18" t="n">
        <v>0.19</v>
      </c>
      <c r="J229" s="17" t="n">
        <f aca="false">G229*H229*(1-I229)</f>
        <v>21772.1682</v>
      </c>
      <c r="K229" s="18" t="n">
        <v>0.19</v>
      </c>
    </row>
    <row r="230" customFormat="false" ht="15" hidden="false" customHeight="true" outlineLevel="0" collapsed="false">
      <c r="A230" s="1" t="s">
        <v>303</v>
      </c>
      <c r="B230" s="16" t="n">
        <v>45606</v>
      </c>
      <c r="C230" s="1" t="s">
        <v>71</v>
      </c>
      <c r="D230" s="1" t="s">
        <v>13</v>
      </c>
      <c r="E230" s="1" t="s">
        <v>50</v>
      </c>
      <c r="F230" s="1" t="s">
        <v>22</v>
      </c>
      <c r="G230" s="1" t="n">
        <v>8</v>
      </c>
      <c r="H230" s="17" t="n">
        <v>818.31</v>
      </c>
      <c r="I230" s="18" t="n">
        <v>0.15</v>
      </c>
      <c r="J230" s="17" t="n">
        <f aca="false">G230*H230*(1-I230)</f>
        <v>5564.508</v>
      </c>
      <c r="K230" s="18" t="n">
        <v>0.19</v>
      </c>
    </row>
    <row r="231" customFormat="false" ht="15" hidden="false" customHeight="true" outlineLevel="0" collapsed="false">
      <c r="A231" s="1" t="s">
        <v>304</v>
      </c>
      <c r="B231" s="16" t="n">
        <v>45580</v>
      </c>
      <c r="C231" s="1" t="s">
        <v>69</v>
      </c>
      <c r="D231" s="1" t="s">
        <v>21</v>
      </c>
      <c r="E231" s="1" t="s">
        <v>46</v>
      </c>
      <c r="F231" s="1" t="s">
        <v>14</v>
      </c>
      <c r="G231" s="1" t="n">
        <v>10</v>
      </c>
      <c r="H231" s="17" t="n">
        <v>2106.27</v>
      </c>
      <c r="I231" s="18" t="n">
        <v>0.01</v>
      </c>
      <c r="J231" s="17" t="n">
        <f aca="false">G231*H231*(1-I231)</f>
        <v>20852.073</v>
      </c>
      <c r="K231" s="18" t="n">
        <v>0.33</v>
      </c>
    </row>
    <row r="232" customFormat="false" ht="15" hidden="false" customHeight="true" outlineLevel="0" collapsed="false">
      <c r="A232" s="1" t="s">
        <v>305</v>
      </c>
      <c r="B232" s="16" t="n">
        <v>45586</v>
      </c>
      <c r="C232" s="1" t="s">
        <v>71</v>
      </c>
      <c r="D232" s="1" t="s">
        <v>13</v>
      </c>
      <c r="E232" s="1" t="s">
        <v>34</v>
      </c>
      <c r="F232" s="1" t="s">
        <v>22</v>
      </c>
      <c r="G232" s="1" t="n">
        <v>19</v>
      </c>
      <c r="H232" s="17" t="n">
        <v>792.33</v>
      </c>
      <c r="I232" s="18" t="n">
        <v>0.18</v>
      </c>
      <c r="J232" s="17" t="n">
        <f aca="false">G232*H232*(1-I232)</f>
        <v>12344.5014</v>
      </c>
      <c r="K232" s="18" t="n">
        <v>0.32</v>
      </c>
    </row>
    <row r="233" customFormat="false" ht="15" hidden="false" customHeight="true" outlineLevel="0" collapsed="false">
      <c r="A233" s="1" t="s">
        <v>306</v>
      </c>
      <c r="B233" s="16" t="n">
        <v>45608</v>
      </c>
      <c r="C233" s="1" t="s">
        <v>81</v>
      </c>
      <c r="D233" s="1" t="s">
        <v>19</v>
      </c>
      <c r="E233" s="1" t="s">
        <v>36</v>
      </c>
      <c r="F233" s="1" t="s">
        <v>18</v>
      </c>
      <c r="G233" s="1" t="n">
        <v>13</v>
      </c>
      <c r="H233" s="17" t="n">
        <v>1385.67</v>
      </c>
      <c r="I233" s="18" t="n">
        <v>0.05</v>
      </c>
      <c r="J233" s="17" t="n">
        <f aca="false">G233*H233*(1-I233)</f>
        <v>17113.0245</v>
      </c>
      <c r="K233" s="18" t="n">
        <v>0.22</v>
      </c>
    </row>
    <row r="234" customFormat="false" ht="15" hidden="false" customHeight="true" outlineLevel="0" collapsed="false">
      <c r="A234" s="1" t="s">
        <v>307</v>
      </c>
      <c r="B234" s="16" t="n">
        <v>45342</v>
      </c>
      <c r="C234" s="1" t="s">
        <v>88</v>
      </c>
      <c r="D234" s="1" t="s">
        <v>17</v>
      </c>
      <c r="E234" s="1" t="s">
        <v>34</v>
      </c>
      <c r="F234" s="1" t="s">
        <v>14</v>
      </c>
      <c r="G234" s="1" t="n">
        <v>4</v>
      </c>
      <c r="H234" s="17" t="n">
        <v>1342.73</v>
      </c>
      <c r="I234" s="18" t="n">
        <v>0.21</v>
      </c>
      <c r="J234" s="17" t="n">
        <f aca="false">G234*H234*(1-I234)</f>
        <v>4243.0268</v>
      </c>
      <c r="K234" s="18" t="n">
        <v>0.26</v>
      </c>
    </row>
    <row r="235" customFormat="false" ht="15" hidden="false" customHeight="true" outlineLevel="0" collapsed="false">
      <c r="A235" s="1" t="s">
        <v>308</v>
      </c>
      <c r="B235" s="16" t="n">
        <v>45303</v>
      </c>
      <c r="C235" s="1" t="s">
        <v>77</v>
      </c>
      <c r="D235" s="1" t="s">
        <v>15</v>
      </c>
      <c r="E235" s="1" t="s">
        <v>38</v>
      </c>
      <c r="F235" s="1" t="s">
        <v>22</v>
      </c>
      <c r="G235" s="1" t="n">
        <v>5</v>
      </c>
      <c r="H235" s="17" t="n">
        <v>511.34</v>
      </c>
      <c r="I235" s="18" t="n">
        <v>0.09</v>
      </c>
      <c r="J235" s="17" t="n">
        <f aca="false">G235*H235*(1-I235)</f>
        <v>2326.597</v>
      </c>
      <c r="K235" s="18" t="n">
        <v>0.2</v>
      </c>
    </row>
    <row r="236" customFormat="false" ht="15" hidden="false" customHeight="true" outlineLevel="0" collapsed="false">
      <c r="A236" s="1" t="s">
        <v>309</v>
      </c>
      <c r="B236" s="16" t="n">
        <v>45302</v>
      </c>
      <c r="C236" s="1" t="s">
        <v>88</v>
      </c>
      <c r="D236" s="1" t="s">
        <v>21</v>
      </c>
      <c r="E236" s="1" t="s">
        <v>42</v>
      </c>
      <c r="F236" s="1" t="s">
        <v>18</v>
      </c>
      <c r="G236" s="1" t="n">
        <v>9</v>
      </c>
      <c r="H236" s="17" t="n">
        <v>2081.66</v>
      </c>
      <c r="I236" s="18" t="n">
        <v>0.29</v>
      </c>
      <c r="J236" s="17" t="n">
        <f aca="false">G236*H236*(1-I236)</f>
        <v>13301.8074</v>
      </c>
      <c r="K236" s="18" t="n">
        <v>0.19</v>
      </c>
    </row>
    <row r="237" customFormat="false" ht="15" hidden="false" customHeight="true" outlineLevel="0" collapsed="false">
      <c r="A237" s="1" t="s">
        <v>310</v>
      </c>
      <c r="B237" s="16" t="n">
        <v>45584</v>
      </c>
      <c r="C237" s="1" t="s">
        <v>69</v>
      </c>
      <c r="D237" s="1" t="s">
        <v>13</v>
      </c>
      <c r="E237" s="1" t="s">
        <v>46</v>
      </c>
      <c r="F237" s="1" t="s">
        <v>20</v>
      </c>
      <c r="G237" s="1" t="n">
        <v>6</v>
      </c>
      <c r="H237" s="17" t="n">
        <v>887.72</v>
      </c>
      <c r="I237" s="18" t="n">
        <v>0.22</v>
      </c>
      <c r="J237" s="17" t="n">
        <f aca="false">G237*H237*(1-I237)</f>
        <v>4154.5296</v>
      </c>
      <c r="K237" s="18" t="n">
        <v>0.43</v>
      </c>
    </row>
    <row r="238" customFormat="false" ht="15" hidden="false" customHeight="true" outlineLevel="0" collapsed="false">
      <c r="A238" s="1" t="s">
        <v>311</v>
      </c>
      <c r="B238" s="16" t="n">
        <v>45328</v>
      </c>
      <c r="C238" s="1" t="s">
        <v>64</v>
      </c>
      <c r="D238" s="1" t="s">
        <v>13</v>
      </c>
      <c r="E238" s="1" t="s">
        <v>50</v>
      </c>
      <c r="F238" s="1" t="s">
        <v>16</v>
      </c>
      <c r="G238" s="1" t="n">
        <v>15</v>
      </c>
      <c r="H238" s="17" t="n">
        <v>1738.25</v>
      </c>
      <c r="I238" s="18" t="n">
        <v>0.03</v>
      </c>
      <c r="J238" s="17" t="n">
        <f aca="false">G238*H238*(1-I238)</f>
        <v>25291.5375</v>
      </c>
      <c r="K238" s="18" t="n">
        <v>0.32</v>
      </c>
    </row>
    <row r="239" customFormat="false" ht="15" hidden="false" customHeight="true" outlineLevel="0" collapsed="false">
      <c r="A239" s="1" t="s">
        <v>312</v>
      </c>
      <c r="B239" s="16" t="n">
        <v>45310</v>
      </c>
      <c r="C239" s="1" t="s">
        <v>93</v>
      </c>
      <c r="D239" s="1" t="s">
        <v>15</v>
      </c>
      <c r="E239" s="1" t="s">
        <v>42</v>
      </c>
      <c r="F239" s="1" t="s">
        <v>20</v>
      </c>
      <c r="G239" s="1" t="n">
        <v>9</v>
      </c>
      <c r="H239" s="17" t="n">
        <v>921.23</v>
      </c>
      <c r="I239" s="18" t="n">
        <v>0.04</v>
      </c>
      <c r="J239" s="17" t="n">
        <f aca="false">G239*H239*(1-I239)</f>
        <v>7959.4272</v>
      </c>
      <c r="K239" s="18" t="n">
        <v>0.24</v>
      </c>
    </row>
    <row r="240" customFormat="false" ht="15" hidden="false" customHeight="true" outlineLevel="0" collapsed="false">
      <c r="A240" s="1" t="s">
        <v>313</v>
      </c>
      <c r="B240" s="16" t="n">
        <v>45307</v>
      </c>
      <c r="C240" s="1" t="s">
        <v>85</v>
      </c>
      <c r="D240" s="1" t="s">
        <v>21</v>
      </c>
      <c r="E240" s="1" t="s">
        <v>46</v>
      </c>
      <c r="F240" s="1" t="s">
        <v>22</v>
      </c>
      <c r="G240" s="1" t="n">
        <v>11</v>
      </c>
      <c r="H240" s="17" t="n">
        <v>1114.65</v>
      </c>
      <c r="I240" s="18" t="n">
        <v>0.02</v>
      </c>
      <c r="J240" s="17" t="n">
        <f aca="false">G240*H240*(1-I240)</f>
        <v>12015.927</v>
      </c>
      <c r="K240" s="18" t="n">
        <v>0.3</v>
      </c>
    </row>
    <row r="241" customFormat="false" ht="15" hidden="false" customHeight="true" outlineLevel="0" collapsed="false">
      <c r="A241" s="1" t="s">
        <v>314</v>
      </c>
      <c r="B241" s="16" t="n">
        <v>45567</v>
      </c>
      <c r="C241" s="1" t="s">
        <v>85</v>
      </c>
      <c r="D241" s="1" t="s">
        <v>19</v>
      </c>
      <c r="E241" s="1" t="s">
        <v>50</v>
      </c>
      <c r="F241" s="1" t="s">
        <v>16</v>
      </c>
      <c r="G241" s="1" t="n">
        <v>20</v>
      </c>
      <c r="H241" s="17" t="n">
        <v>165</v>
      </c>
      <c r="I241" s="18" t="n">
        <v>0.02</v>
      </c>
      <c r="J241" s="17" t="n">
        <f aca="false">G241*H241*(1-I241)</f>
        <v>3234</v>
      </c>
      <c r="K241" s="18" t="n">
        <v>0.34</v>
      </c>
    </row>
    <row r="242" customFormat="false" ht="15" hidden="false" customHeight="true" outlineLevel="0" collapsed="false">
      <c r="A242" s="1" t="s">
        <v>315</v>
      </c>
      <c r="B242" s="16" t="n">
        <v>45315</v>
      </c>
      <c r="C242" s="1" t="s">
        <v>64</v>
      </c>
      <c r="D242" s="1" t="s">
        <v>17</v>
      </c>
      <c r="E242" s="1" t="s">
        <v>44</v>
      </c>
      <c r="F242" s="1" t="s">
        <v>16</v>
      </c>
      <c r="G242" s="1" t="n">
        <v>15</v>
      </c>
      <c r="H242" s="17" t="n">
        <v>1665.18</v>
      </c>
      <c r="I242" s="18" t="n">
        <v>0.07</v>
      </c>
      <c r="J242" s="17" t="n">
        <f aca="false">G242*H242*(1-I242)</f>
        <v>23229.261</v>
      </c>
      <c r="K242" s="18" t="n">
        <v>0.3</v>
      </c>
    </row>
    <row r="243" customFormat="false" ht="15" hidden="false" customHeight="true" outlineLevel="0" collapsed="false">
      <c r="A243" s="1" t="s">
        <v>316</v>
      </c>
      <c r="B243" s="16" t="n">
        <v>45413</v>
      </c>
      <c r="C243" s="1" t="s">
        <v>117</v>
      </c>
      <c r="D243" s="1" t="s">
        <v>13</v>
      </c>
      <c r="E243" s="1" t="s">
        <v>50</v>
      </c>
      <c r="F243" s="1" t="s">
        <v>18</v>
      </c>
      <c r="G243" s="1" t="n">
        <v>8</v>
      </c>
      <c r="H243" s="17" t="n">
        <v>1824.04</v>
      </c>
      <c r="I243" s="18" t="n">
        <v>0.17</v>
      </c>
      <c r="J243" s="17" t="n">
        <f aca="false">G243*H243*(1-I243)</f>
        <v>12111.6256</v>
      </c>
      <c r="K243" s="18" t="n">
        <v>0.37</v>
      </c>
    </row>
    <row r="244" customFormat="false" ht="15" hidden="false" customHeight="true" outlineLevel="0" collapsed="false">
      <c r="A244" s="1" t="s">
        <v>317</v>
      </c>
      <c r="B244" s="16" t="n">
        <v>45330</v>
      </c>
      <c r="C244" s="1" t="s">
        <v>85</v>
      </c>
      <c r="D244" s="1" t="s">
        <v>17</v>
      </c>
      <c r="E244" s="1" t="s">
        <v>32</v>
      </c>
      <c r="F244" s="1" t="s">
        <v>20</v>
      </c>
      <c r="G244" s="1" t="n">
        <v>15</v>
      </c>
      <c r="H244" s="17" t="n">
        <v>2466.44</v>
      </c>
      <c r="I244" s="18" t="n">
        <v>0.27</v>
      </c>
      <c r="J244" s="17" t="n">
        <f aca="false">G244*H244*(1-I244)</f>
        <v>27007.518</v>
      </c>
      <c r="K244" s="18" t="n">
        <v>0.33</v>
      </c>
    </row>
    <row r="245" customFormat="false" ht="15" hidden="false" customHeight="true" outlineLevel="0" collapsed="false">
      <c r="A245" s="1" t="s">
        <v>318</v>
      </c>
      <c r="B245" s="16" t="n">
        <v>45330</v>
      </c>
      <c r="C245" s="1" t="s">
        <v>85</v>
      </c>
      <c r="D245" s="1" t="s">
        <v>17</v>
      </c>
      <c r="E245" s="1" t="s">
        <v>38</v>
      </c>
      <c r="F245" s="1" t="s">
        <v>14</v>
      </c>
      <c r="G245" s="1" t="n">
        <v>3</v>
      </c>
      <c r="H245" s="17" t="n">
        <v>1339.73</v>
      </c>
      <c r="I245" s="18" t="n">
        <v>0.24</v>
      </c>
      <c r="J245" s="17" t="n">
        <f aca="false">G245*H245*(1-I245)</f>
        <v>3054.5844</v>
      </c>
      <c r="K245" s="18" t="n">
        <v>0.31</v>
      </c>
    </row>
    <row r="246" customFormat="false" ht="15" hidden="false" customHeight="true" outlineLevel="0" collapsed="false">
      <c r="A246" s="1" t="s">
        <v>319</v>
      </c>
      <c r="B246" s="16" t="n">
        <v>45588</v>
      </c>
      <c r="C246" s="1" t="s">
        <v>71</v>
      </c>
      <c r="D246" s="1" t="s">
        <v>19</v>
      </c>
      <c r="E246" s="1" t="s">
        <v>44</v>
      </c>
      <c r="F246" s="1" t="s">
        <v>20</v>
      </c>
      <c r="G246" s="1" t="n">
        <v>12</v>
      </c>
      <c r="H246" s="17" t="n">
        <v>2316.25</v>
      </c>
      <c r="I246" s="18" t="n">
        <v>0.18</v>
      </c>
      <c r="J246" s="17" t="n">
        <f aca="false">G246*H246*(1-I246)</f>
        <v>22791.9</v>
      </c>
      <c r="K246" s="18" t="n">
        <v>0.15</v>
      </c>
    </row>
    <row r="247" customFormat="false" ht="15" hidden="false" customHeight="true" outlineLevel="0" collapsed="false">
      <c r="A247" s="1" t="s">
        <v>320</v>
      </c>
      <c r="B247" s="16" t="n">
        <v>45471</v>
      </c>
      <c r="C247" s="1" t="s">
        <v>93</v>
      </c>
      <c r="D247" s="1" t="s">
        <v>13</v>
      </c>
      <c r="E247" s="1" t="s">
        <v>32</v>
      </c>
      <c r="F247" s="1" t="s">
        <v>16</v>
      </c>
      <c r="G247" s="1" t="n">
        <v>12</v>
      </c>
      <c r="H247" s="17" t="n">
        <v>963.58</v>
      </c>
      <c r="I247" s="18" t="n">
        <v>0.23</v>
      </c>
      <c r="J247" s="17" t="n">
        <f aca="false">G247*H247*(1-I247)</f>
        <v>8903.4792</v>
      </c>
      <c r="K247" s="18" t="n">
        <v>0.36</v>
      </c>
    </row>
    <row r="248" customFormat="false" ht="15" hidden="false" customHeight="true" outlineLevel="0" collapsed="false">
      <c r="A248" s="1" t="s">
        <v>321</v>
      </c>
      <c r="B248" s="16" t="n">
        <v>45518</v>
      </c>
      <c r="C248" s="1" t="s">
        <v>93</v>
      </c>
      <c r="D248" s="1" t="s">
        <v>13</v>
      </c>
      <c r="E248" s="1" t="s">
        <v>38</v>
      </c>
      <c r="F248" s="1" t="s">
        <v>22</v>
      </c>
      <c r="G248" s="1" t="n">
        <v>13</v>
      </c>
      <c r="H248" s="17" t="n">
        <v>1864.91</v>
      </c>
      <c r="I248" s="18" t="n">
        <v>0.1</v>
      </c>
      <c r="J248" s="17" t="n">
        <f aca="false">G248*H248*(1-I248)</f>
        <v>21819.447</v>
      </c>
      <c r="K248" s="18" t="n">
        <v>0.26</v>
      </c>
    </row>
    <row r="249" customFormat="false" ht="15" hidden="false" customHeight="true" outlineLevel="0" collapsed="false">
      <c r="A249" s="1" t="s">
        <v>322</v>
      </c>
      <c r="B249" s="16" t="n">
        <v>45452</v>
      </c>
      <c r="C249" s="1" t="s">
        <v>85</v>
      </c>
      <c r="D249" s="1" t="s">
        <v>13</v>
      </c>
      <c r="E249" s="1" t="s">
        <v>44</v>
      </c>
      <c r="F249" s="1" t="s">
        <v>18</v>
      </c>
      <c r="G249" s="1" t="n">
        <v>16</v>
      </c>
      <c r="H249" s="17" t="n">
        <v>710.57</v>
      </c>
      <c r="I249" s="18" t="n">
        <v>0.29</v>
      </c>
      <c r="J249" s="17" t="n">
        <f aca="false">G249*H249*(1-I249)</f>
        <v>8072.0752</v>
      </c>
      <c r="K249" s="18" t="n">
        <v>0.17</v>
      </c>
    </row>
    <row r="250" customFormat="false" ht="15" hidden="false" customHeight="true" outlineLevel="0" collapsed="false">
      <c r="A250" s="1" t="s">
        <v>323</v>
      </c>
      <c r="B250" s="16" t="n">
        <v>45496</v>
      </c>
      <c r="C250" s="1" t="s">
        <v>117</v>
      </c>
      <c r="D250" s="1" t="s">
        <v>21</v>
      </c>
      <c r="E250" s="1" t="s">
        <v>40</v>
      </c>
      <c r="F250" s="1" t="s">
        <v>14</v>
      </c>
      <c r="G250" s="1" t="n">
        <v>14</v>
      </c>
      <c r="H250" s="17" t="n">
        <v>535.22</v>
      </c>
      <c r="I250" s="18" t="n">
        <v>0.2</v>
      </c>
      <c r="J250" s="17" t="n">
        <f aca="false">G250*H250*(1-I250)</f>
        <v>5994.464</v>
      </c>
      <c r="K250" s="18" t="n">
        <v>0.4</v>
      </c>
    </row>
    <row r="251" customFormat="false" ht="15" hidden="false" customHeight="true" outlineLevel="0" collapsed="false">
      <c r="A251" s="1" t="s">
        <v>324</v>
      </c>
      <c r="B251" s="16" t="n">
        <v>45527</v>
      </c>
      <c r="C251" s="1" t="s">
        <v>85</v>
      </c>
      <c r="D251" s="1" t="s">
        <v>21</v>
      </c>
      <c r="E251" s="1" t="s">
        <v>50</v>
      </c>
      <c r="F251" s="1" t="s">
        <v>20</v>
      </c>
      <c r="G251" s="1" t="n">
        <v>19</v>
      </c>
      <c r="H251" s="17" t="n">
        <v>2353.97</v>
      </c>
      <c r="I251" s="18" t="n">
        <v>0.11</v>
      </c>
      <c r="J251" s="17" t="n">
        <f aca="false">G251*H251*(1-I251)</f>
        <v>39805.6327</v>
      </c>
      <c r="K251" s="18" t="n">
        <v>0.35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1" width="20"/>
  </cols>
  <sheetData>
    <row r="1" customFormat="false" ht="19.5" hidden="false" customHeight="true" outlineLevel="0" collapsed="false">
      <c r="A1" s="6" t="s">
        <v>325</v>
      </c>
      <c r="B1" s="6"/>
      <c r="C1" s="6"/>
      <c r="D1" s="6"/>
      <c r="E1" s="6"/>
    </row>
    <row r="3" customFormat="false" ht="15" hidden="false" customHeight="true" outlineLevel="0" collapsed="false">
      <c r="A3" s="19" t="s">
        <v>326</v>
      </c>
      <c r="B3" s="19" t="s">
        <v>327</v>
      </c>
      <c r="C3" s="19" t="s">
        <v>328</v>
      </c>
      <c r="D3" s="19" t="s">
        <v>329</v>
      </c>
      <c r="E3" s="19" t="s">
        <v>330</v>
      </c>
    </row>
    <row r="4" customFormat="false" ht="27.75" hidden="false" customHeight="true" outlineLevel="0" collapsed="false">
      <c r="A4" s="20" t="s">
        <v>331</v>
      </c>
      <c r="B4" s="20" t="s">
        <v>332</v>
      </c>
      <c r="C4" s="20" t="n">
        <f aca="false">SUM(Sales_Data!J:J)</f>
        <v>2803407.8333</v>
      </c>
      <c r="D4" s="20" t="s">
        <v>333</v>
      </c>
      <c r="E4" s="20" t="s">
        <v>334</v>
      </c>
    </row>
    <row r="5" customFormat="false" ht="15" hidden="false" customHeight="true" outlineLevel="0" collapsed="false">
      <c r="A5" s="20" t="s">
        <v>335</v>
      </c>
      <c r="B5" s="20" t="s">
        <v>336</v>
      </c>
      <c r="C5" s="20" t="n">
        <f aca="false">SUMIF(Sales_Data!D:D,"North",Sales_Data!J:J)</f>
        <v>480694.4067</v>
      </c>
      <c r="D5" s="20" t="s">
        <v>337</v>
      </c>
      <c r="E5" s="20" t="s">
        <v>334</v>
      </c>
    </row>
    <row r="6" customFormat="false" ht="27.75" hidden="false" customHeight="true" outlineLevel="0" collapsed="false">
      <c r="A6" s="20" t="s">
        <v>338</v>
      </c>
      <c r="B6" s="20" t="s">
        <v>339</v>
      </c>
      <c r="C6" s="20" t="n">
        <f aca="false">SUMIFS(Sales_Data!J:J,Sales_Data!B:B,"&gt;="&amp;DATE(2024,1,1))</f>
        <v>2803407.8333</v>
      </c>
      <c r="D6" s="20" t="s">
        <v>340</v>
      </c>
      <c r="E6" s="20" t="s">
        <v>334</v>
      </c>
    </row>
    <row r="7" customFormat="false" ht="27.75" hidden="false" customHeight="true" outlineLevel="0" collapsed="false">
      <c r="A7" s="20" t="s">
        <v>341</v>
      </c>
      <c r="B7" s="20" t="s">
        <v>342</v>
      </c>
      <c r="C7" s="20" t="n">
        <f aca="false">COUNTIF(Sales_Data!D:D,"North")</f>
        <v>54</v>
      </c>
      <c r="D7" s="20" t="s">
        <v>337</v>
      </c>
      <c r="E7" s="20" t="s">
        <v>343</v>
      </c>
    </row>
    <row r="8" customFormat="false" ht="15" hidden="false" customHeight="true" outlineLevel="0" collapsed="false">
      <c r="A8" s="20" t="s">
        <v>344</v>
      </c>
      <c r="B8" s="20" t="s">
        <v>345</v>
      </c>
      <c r="C8" s="21" t="n">
        <f aca="false">AVERAGE(Sales_Data!J:J)</f>
        <v>11213.6313332</v>
      </c>
      <c r="D8" s="20" t="s">
        <v>333</v>
      </c>
      <c r="E8" s="20" t="s">
        <v>334</v>
      </c>
    </row>
    <row r="9" customFormat="false" ht="27.75" hidden="false" customHeight="true" outlineLevel="0" collapsed="false">
      <c r="A9" s="20" t="s">
        <v>346</v>
      </c>
      <c r="B9" s="20" t="s">
        <v>347</v>
      </c>
      <c r="C9" s="20" t="n">
        <f aca="false">COUNTA(Sales_Data!A:A)-1</f>
        <v>250</v>
      </c>
      <c r="D9" s="20" t="s">
        <v>333</v>
      </c>
      <c r="E9" s="20" t="s">
        <v>343</v>
      </c>
    </row>
    <row r="10" customFormat="false" ht="15" hidden="false" customHeight="true" outlineLevel="0" collapsed="false">
      <c r="A10" s="20" t="s">
        <v>348</v>
      </c>
      <c r="B10" s="20" t="s">
        <v>349</v>
      </c>
      <c r="C10" s="20" t="s">
        <v>350</v>
      </c>
      <c r="D10" s="20" t="s">
        <v>351</v>
      </c>
      <c r="E10" s="20" t="s">
        <v>12</v>
      </c>
    </row>
    <row r="11" customFormat="false" ht="15" hidden="false" customHeight="true" outlineLevel="0" collapsed="false">
      <c r="A11" s="20" t="s">
        <v>352</v>
      </c>
      <c r="B11" s="20" t="s">
        <v>353</v>
      </c>
      <c r="C11" s="20" t="n">
        <f aca="false">G2*H2*(1-I2)</f>
        <v>0</v>
      </c>
      <c r="D11" s="20" t="s">
        <v>354</v>
      </c>
      <c r="E11" s="20" t="s">
        <v>334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5"/>
    <col collapsed="false" customWidth="true" hidden="false" outlineLevel="0" max="3" min="3" style="1" width="30"/>
    <col collapsed="false" customWidth="true" hidden="false" outlineLevel="0" max="4" min="4" style="1" width="25"/>
  </cols>
  <sheetData>
    <row r="1" customFormat="false" ht="19.5" hidden="false" customHeight="true" outlineLevel="0" collapsed="false">
      <c r="A1" s="6" t="s">
        <v>355</v>
      </c>
      <c r="B1" s="6"/>
      <c r="C1" s="6"/>
      <c r="D1" s="6"/>
    </row>
    <row r="3" customFormat="false" ht="15" hidden="false" customHeight="true" outlineLevel="0" collapsed="false">
      <c r="A3" s="20"/>
      <c r="B3" s="20"/>
      <c r="C3" s="20"/>
      <c r="D3" s="20"/>
    </row>
    <row r="4" customFormat="false" ht="15" hidden="false" customHeight="true" outlineLevel="0" collapsed="false">
      <c r="A4" s="15" t="s">
        <v>356</v>
      </c>
      <c r="B4" s="15" t="s">
        <v>327</v>
      </c>
      <c r="C4" s="15" t="s">
        <v>357</v>
      </c>
      <c r="D4" s="15" t="s">
        <v>358</v>
      </c>
    </row>
    <row r="5" customFormat="false" ht="49.5" hidden="false" customHeight="true" outlineLevel="0" collapsed="false">
      <c r="A5" s="20" t="s">
        <v>359</v>
      </c>
      <c r="B5" s="20" t="s">
        <v>360</v>
      </c>
      <c r="C5" s="20" t="s">
        <v>361</v>
      </c>
      <c r="D5" s="20" t="s">
        <v>362</v>
      </c>
    </row>
    <row r="6" customFormat="false" ht="49.5" hidden="false" customHeight="true" outlineLevel="0" collapsed="false">
      <c r="A6" s="20" t="s">
        <v>363</v>
      </c>
      <c r="B6" s="20" t="s">
        <v>364</v>
      </c>
      <c r="C6" s="20" t="s">
        <v>365</v>
      </c>
      <c r="D6" s="20" t="s">
        <v>366</v>
      </c>
    </row>
    <row r="7" customFormat="false" ht="49.5" hidden="false" customHeight="true" outlineLevel="0" collapsed="false">
      <c r="A7" s="20" t="s">
        <v>367</v>
      </c>
      <c r="B7" s="20" t="s">
        <v>368</v>
      </c>
      <c r="C7" s="20" t="s">
        <v>369</v>
      </c>
      <c r="D7" s="20" t="s">
        <v>370</v>
      </c>
    </row>
    <row r="8" customFormat="false" ht="49.5" hidden="false" customHeight="true" outlineLevel="0" collapsed="false">
      <c r="A8" s="20" t="s">
        <v>371</v>
      </c>
      <c r="B8" s="20" t="s">
        <v>372</v>
      </c>
      <c r="C8" s="20" t="s">
        <v>373</v>
      </c>
      <c r="D8" s="20" t="s">
        <v>374</v>
      </c>
    </row>
    <row r="9" customFormat="false" ht="49.5" hidden="false" customHeight="true" outlineLevel="0" collapsed="false">
      <c r="A9" s="20" t="s">
        <v>375</v>
      </c>
      <c r="B9" s="20" t="s">
        <v>376</v>
      </c>
      <c r="C9" s="20" t="s">
        <v>377</v>
      </c>
      <c r="D9" s="20" t="s">
        <v>378</v>
      </c>
    </row>
    <row r="10" customFormat="false" ht="49.5" hidden="false" customHeight="true" outlineLevel="0" collapsed="false">
      <c r="A10" s="20" t="s">
        <v>379</v>
      </c>
      <c r="B10" s="20" t="s">
        <v>380</v>
      </c>
      <c r="C10" s="20" t="s">
        <v>381</v>
      </c>
      <c r="D10" s="20" t="s">
        <v>382</v>
      </c>
    </row>
    <row r="11" customFormat="false" ht="49.5" hidden="false" customHeight="true" outlineLevel="0" collapsed="false"/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2026-01-30T12:19:10Z</dcterms:created>
  <dc:creator>openpyxl</dc:creator>
  <dc:description/>
  <dc:language>en-US</dc:language>
  <cp:lastModifiedBy/>
  <dcterms:modified xsi:type="dcterms:W3CDTF">2026-01-30T12:19:40Z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